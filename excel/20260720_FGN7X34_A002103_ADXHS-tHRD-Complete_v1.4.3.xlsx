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ummary" sheetId="1" r:id="rId1"/>
    <sheet name="AmpliconStat" sheetId="2" r:id="rId2"/>
    <sheet name="SNVIndel" sheetId="3" r:id="rId3"/>
    <sheet name="SNVIndelDiscard" sheetId="4" r:id="rId4"/>
    <sheet name="HD" sheetId="5" r:id="rId5"/>
    <sheet name="HD_Discard" sheetId="6" r:id="rId6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0.00,,,&quot;G&quot;"/>
    <numFmt numFmtId="1002" formatCode="0"/>
    <numFmt numFmtId="1003" formatCode="0.00%"/>
    <numFmt numFmtId="1004" formatCode="0.00"/>
    <numFmt numFmtId="1005" formatCode="0.0000"/>
  </numFmts>
  <fonts>
    <font>
      <sz val="11"/>
      <color theme="1"/>
      <name val="Calibri"/>
      <family val="2"/>
      <scheme val="minor"/>
    </font>
    <font>
      <sz val="11"/>
      <name val="宋体"/>
    </font>
    <font>
      <sz val="11"/>
      <name val="宋体"/>
      <u/>
      <color rgb="000000FF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numFmtId="1001" applyFont="1" fontId="1" applyAlignment="1">
      <alignment horizontal="center" vertical="bottom" textRotation="0" wrapText="0"/>
    </xf>
    <xf xfId="0" numFmtId="1002" applyFont="1" fontId="1" applyAlignment="1">
      <alignment horizontal="center" vertical="bottom" textRotation="0" wrapText="0"/>
    </xf>
    <xf xfId="0" numFmtId="1003" applyFont="1" fontId="1" applyAlignment="1">
      <alignment horizontal="center" vertical="bottom" textRotation="0" wrapText="0"/>
    </xf>
    <xf xfId="0" numFmtId="1004" applyFont="1" fontId="1" applyAlignment="1">
      <alignment horizontal="center" vertical="bottom" textRotation="0" wrapText="0"/>
    </xf>
    <xf xfId="0" numFmtId="1005" applyFont="1" fontId="1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1005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applyFont="1" fontId="2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1003" applyAlignment="1">
      <alignment horizontal="center" vertical="bottom" textRotation="0" wrapText="0"/>
    </xf>
    <xf xfId="0" numFmtId="1003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  <xf xfId="0" numFmtId="0" applyAlignment="1">
      <alignment horizontal="center" vertical="bottom" textRotation="0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<Relationship Id="rId4" Type="http://schemas.openxmlformats.org/officeDocument/2006/relationships/worksheet" Target="worksheets/sheet4.xml" />
    
    <Relationship Id="rId5" Type="http://schemas.openxmlformats.org/officeDocument/2006/relationships/worksheet" Target="worksheets/sheet5.xml" />
    
    <Relationship Id="rId6" Type="http://schemas.openxmlformats.org/officeDocument/2006/relationships/worksheet" Target="worksheets/sheet6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6"/>
    <col min="2" max="2" hidden="1" bestFit="0" customWidth="1" width="0.000000" style="7"/>
    <col min="3" max="3" hidden="1" bestFit="0" customWidth="1" width="0.000000" style="7"/>
    <col min="4" max="4" hidden="0" bestFit="0" customWidth="1" width="13.050000" style="8"/>
    <col min="5" max="5" hidden="0" bestFit="0" customWidth="1" width="14.500000" style="9"/>
    <col min="6" max="6" hidden="0" bestFit="0" customWidth="1" width="15.000000" style="10"/>
    <col min="7" max="7" hidden="0" bestFit="0" customWidth="1" width="15.000000" style="10"/>
    <col min="8" max="8" hidden="0" bestFit="0" customWidth="1" width="15.000000" style="10"/>
    <col min="9" max="9" hidden="0" bestFit="0" customWidth="1" width="15.950000" style="11"/>
    <col min="10" max="10" hidden="0" bestFit="0" customWidth="1" width="15.000000" style="10"/>
    <col min="11" max="11" hidden="0" bestFit="0" customWidth="1" width="24.000000" style="12"/>
    <col min="12" max="12" hidden="0" bestFit="0" customWidth="1" width="18.000000" style="13"/>
    <col min="13" max="13" hidden="0" bestFit="0" customWidth="1" width="22.000000" style="14"/>
    <col min="14" max="14" hidden="0" bestFit="0" customWidth="1" width="22.000000" style="14"/>
    <col min="15" max="15" hidden="0" bestFit="0" customWidth="1" width="24.000000" style="12"/>
    <col min="16" max="16" hidden="0" bestFit="0" customWidth="1" width="13.000000" style="15"/>
    <col min="17" max="17" hidden="0" bestFit="0" customWidth="1" width="22.000000" style="14"/>
    <col min="18" max="18" hidden="0" bestFit="0" customWidth="1" width="18.000000" style="13"/>
    <col min="19" max="19" hidden="0" bestFit="0" customWidth="1" width="22.000000" style="14"/>
    <col min="20" max="20" hidden="0" bestFit="0" customWidth="1" width="22.000000" style="14"/>
    <col min="21" max="21" hidden="0" bestFit="0" customWidth="1" width="22.000000" style="14"/>
    <col min="22" max="22" hidden="0" bestFit="0" customWidth="1" width="13.000000" style="15"/>
    <col min="23" max="23" hidden="0" bestFit="0" customWidth="1" width="18.000000" style="13"/>
    <col min="24" max="24" hidden="0" bestFit="0" customWidth="1" width="22.000000" style="14"/>
    <col min="25" max="25" hidden="0" bestFit="0" customWidth="1" width="18.000000" style="13"/>
    <col min="26" max="26" hidden="0" bestFit="0" customWidth="1" width="22.000000" style="14"/>
    <col min="27" max="27" hidden="0" bestFit="0" customWidth="1" width="12.000000" style="16"/>
    <col min="28" max="28" hidden="0" bestFit="0" customWidth="1" width="12.000000" style="16"/>
    <col min="29" max="29" hidden="0" bestFit="0" customWidth="1" width="12.000000" style="16"/>
    <col min="30" max="30" hidden="0" bestFit="0" customWidth="1" width="18.000000" style="17"/>
    <col min="31" max="31" hidden="0" bestFit="0" customWidth="1" width="18.000000" style="17"/>
    <col min="32" max="32" hidden="0" bestFit="0" customWidth="1" width="18.000000" style="13"/>
    <col min="33" max="33" hidden="0" bestFit="0" customWidth="1" width="18.000000" style="13"/>
    <col min="34" max="34" hidden="0" bestFit="0" customWidth="1" width="18.000000" style="13"/>
    <col min="35" max="35" hidden="0" bestFit="0" customWidth="1" width="22.000000" style="14"/>
    <col min="36" max="36" hidden="0" bestFit="0" customWidth="1" width="18.000000" style="13"/>
    <col min="37" max="37" hidden="0" bestFit="0" customWidth="1" width="24.650000" style="18"/>
    <col min="38" max="38" hidden="0" bestFit="0" customWidth="1" width="12.000000" style="16"/>
    <col min="39" max="39" hidden="0" bestFit="0" customWidth="1" width="18.000000" style="13"/>
    <col min="40" max="40" hidden="0" bestFit="0" customWidth="1" width="14.500000" style="9"/>
    <col min="41" max="41" hidden="0" bestFit="0" customWidth="1" width="13.050000" style="8"/>
  </cols>
  <sheetData>
    <row r="1">
      <c r="A1" s="6" t="inlineStr">
        <is>
          <t xml:space="preserve">Sample</t>
        </is>
      </c>
      <c r="B1" s="7" t="inlineStr">
        <is>
          <t xml:space="preserve">Library</t>
        </is>
      </c>
      <c r="C1" s="7" t="inlineStr">
        <is>
          <t xml:space="preserve">FlowCell_Lane</t>
        </is>
      </c>
      <c r="D1" s="8" t="inlineStr">
        <is>
          <t xml:space="preserve">CleanData</t>
        </is>
      </c>
      <c r="E1" s="9" t="inlineStr">
        <is>
          <t xml:space="preserve">TotalReads</t>
        </is>
      </c>
      <c r="F1" s="10" t="inlineStr">
        <is>
          <t xml:space="preserve">CleanGC%</t>
        </is>
      </c>
      <c r="G1" s="10" t="inlineStr">
        <is>
          <t xml:space="preserve">CleanQ20</t>
        </is>
      </c>
      <c r="H1" s="10" t="inlineStr">
        <is>
          <t xml:space="preserve">CleanQ30</t>
        </is>
      </c>
      <c r="I1" s="11" t="inlineStr">
        <is>
          <t xml:space="preserve">MappingRate</t>
        </is>
      </c>
      <c r="J1" s="10" t="inlineStr">
        <is>
          <t xml:space="preserve">AmpMatch</t>
        </is>
      </c>
      <c r="K1" s="12" t="inlineStr">
        <is>
          <t xml:space="preserve">Coverage(180x)_BRCA</t>
        </is>
      </c>
      <c r="L1" s="13" t="inlineStr">
        <is>
          <t xml:space="preserve">Depth_BRCA</t>
        </is>
      </c>
      <c r="M1" s="14" t="inlineStr">
        <is>
          <t xml:space="preserve">MedianDepth_BRCA</t>
        </is>
      </c>
      <c r="N1" s="14" t="inlineStr">
        <is>
          <t xml:space="preserve">RawDepth_BRCA</t>
        </is>
      </c>
      <c r="O1" s="12" t="inlineStr">
        <is>
          <t xml:space="preserve">Uniformity(20%)_BRCA</t>
        </is>
      </c>
      <c r="P1" s="15" t="inlineStr">
        <is>
          <t xml:space="preserve">CV_BRCA</t>
        </is>
      </c>
      <c r="Q1" s="14" t="inlineStr">
        <is>
          <t xml:space="preserve">Coverage(180x)_CDS</t>
        </is>
      </c>
      <c r="R1" s="13" t="inlineStr">
        <is>
          <t xml:space="preserve">Depth_CDS</t>
        </is>
      </c>
      <c r="S1" s="14" t="inlineStr">
        <is>
          <t xml:space="preserve">MedianDepth_CDS</t>
        </is>
      </c>
      <c r="T1" s="14" t="inlineStr">
        <is>
          <t xml:space="preserve">RawDepth_CDS</t>
        </is>
      </c>
      <c r="U1" s="14" t="inlineStr">
        <is>
          <t xml:space="preserve">Uniformity(20%)_CDS</t>
        </is>
      </c>
      <c r="V1" s="15" t="inlineStr">
        <is>
          <t xml:space="preserve">CV_CDS</t>
        </is>
      </c>
      <c r="W1" s="13" t="inlineStr">
        <is>
          <t xml:space="preserve">Depth_SNP</t>
        </is>
      </c>
      <c r="X1" s="14" t="inlineStr">
        <is>
          <t xml:space="preserve">MedianDepth_SNP</t>
        </is>
      </c>
      <c r="Y1" s="13" t="inlineStr">
        <is>
          <t xml:space="preserve">RawDepth_SNP</t>
        </is>
      </c>
      <c r="Z1" s="14" t="inlineStr">
        <is>
          <t xml:space="preserve">Uniformity(20%)_SNP</t>
        </is>
      </c>
      <c r="AA1" s="16" t="inlineStr">
        <is>
          <t xml:space="preserve">CV_SNP</t>
        </is>
      </c>
      <c r="AB1" s="16" t="inlineStr">
        <is>
          <t xml:space="preserve">Ploidy</t>
        </is>
      </c>
      <c r="AC1" s="16" t="inlineStr">
        <is>
          <t xml:space="preserve">SLPP</t>
        </is>
      </c>
      <c r="AD1" s="17" t="inlineStr">
        <is>
          <t xml:space="preserve">BAFNoise</t>
        </is>
      </c>
      <c r="AE1" s="17" t="inlineStr">
        <is>
          <t xml:space="preserve">DepthNoise</t>
        </is>
      </c>
      <c r="AF1" s="13" t="inlineStr">
        <is>
          <t xml:space="preserve">CDSBAFNoise</t>
        </is>
      </c>
      <c r="AG1" s="13" t="inlineStr">
        <is>
          <t xml:space="preserve">CDSDepthNoise</t>
        </is>
      </c>
      <c r="AH1" s="13" t="inlineStr">
        <is>
          <t xml:space="preserve">CN2_Ratio</t>
        </is>
      </c>
      <c r="AI1" s="14" t="inlineStr">
        <is>
          <t xml:space="preserve">CN2_Length_Ratio</t>
        </is>
      </c>
      <c r="AJ1" s="13" t="inlineStr">
        <is>
          <t xml:space="preserve">Significance</t>
        </is>
      </c>
      <c r="AK1" s="18" t="inlineStr">
        <is>
          <t xml:space="preserve">Significance_BRCA</t>
        </is>
      </c>
      <c r="AL1" s="16" t="inlineStr">
        <is>
          <t xml:space="preserve">GSS</t>
        </is>
      </c>
      <c r="AM1" s="13" t="inlineStr">
        <is>
          <t xml:space="preserve">GSS_Label</t>
        </is>
      </c>
      <c r="AN1" s="9" t="inlineStr">
        <is>
          <t xml:space="preserve">ContaRatio</t>
        </is>
      </c>
      <c r="AO1" s="8" t="inlineStr">
        <is>
          <t xml:space="preserve">ContaStat</t>
        </is>
      </c>
    </row>
    <row r="2">
      <c r="A2" s="6" t="inlineStr">
        <is>
          <t xml:space="preserve">HRD-177-26S052587</t>
        </is>
      </c>
      <c r="B2" s="7" t="inlineStr">
        <is>
          <t xml:space="preserve">HRD-177-26S052587</t>
        </is>
      </c>
      <c r="C2" s="7" t="inlineStr">
        <is>
          <t xml:space="preserve">AHL3NVDRX7_1</t>
        </is>
      </c>
      <c r="D2" s="1">
        <v>3980000000</v>
      </c>
      <c r="E2" s="2">
        <v>35411468</v>
      </c>
      <c r="F2" s="3">
        <v>0.4215</v>
      </c>
      <c r="G2" s="3">
        <v>0.9807</v>
      </c>
      <c r="H2" s="3">
        <v>0.9448</v>
      </c>
      <c r="I2" s="3">
        <v>0.9976</v>
      </c>
      <c r="J2" s="3">
        <v>0.9494</v>
      </c>
      <c r="K2" s="3">
        <v>1</v>
      </c>
      <c r="L2" s="2">
        <v>2327</v>
      </c>
      <c r="M2" s="2">
        <v>2284</v>
      </c>
      <c r="N2" s="2">
        <v>3185</v>
      </c>
      <c r="O2" s="3">
        <v>1</v>
      </c>
      <c r="P2" s="4">
        <v>0.26</v>
      </c>
      <c r="Q2" s="3">
        <v>1</v>
      </c>
      <c r="R2" s="2">
        <v>2216</v>
      </c>
      <c r="S2" s="2">
        <v>2142</v>
      </c>
      <c r="T2" s="2">
        <v>3042</v>
      </c>
      <c r="U2" s="3">
        <v>0.9921</v>
      </c>
      <c r="V2" s="4">
        <v>0.41</v>
      </c>
      <c r="W2" s="2">
        <v>377</v>
      </c>
      <c r="X2" s="2">
        <v>356</v>
      </c>
      <c r="Y2" s="2">
        <v>543</v>
      </c>
      <c r="Z2" s="3">
        <v>0.9997</v>
      </c>
      <c r="AA2" s="4">
        <v>0.42</v>
      </c>
      <c r="AB2" s="4">
        <v>1.9</v>
      </c>
      <c r="AC2" s="4">
        <v>0.87</v>
      </c>
      <c r="AD2" s="5">
        <v>0.0262</v>
      </c>
      <c r="AE2" s="5">
        <v>0.2082</v>
      </c>
      <c r="AF2" s="4">
        <v>0.03</v>
      </c>
      <c r="AG2" s="4">
        <v>0.24</v>
      </c>
      <c r="AH2" s="4">
        <v>0.56</v>
      </c>
      <c r="AI2" s="4">
        <v>0.57</v>
      </c>
      <c r="AJ2" s="2">
        <v>4</v>
      </c>
      <c r="AK2" s="2">
        <v>2</v>
      </c>
      <c r="AL2" s="4">
        <v>59.6</v>
      </c>
      <c r="AM2" s="2">
        <v>1</v>
      </c>
      <c r="AN2" s="4">
        <v>0</v>
      </c>
      <c r="AO2" s="8" t="inlineStr">
        <is>
          <t xml:space="preserve">PASS</t>
        </is>
      </c>
    </row>
  </sheetData>
  <autoFilter ref="A1:AO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6"/>
    <col min="2" max="2" hidden="1" bestFit="0" customWidth="1" width="0.000000" style="7"/>
    <col min="3" max="3" hidden="1" bestFit="0" customWidth="1" width="0.000000" style="7"/>
    <col min="4" max="4" hidden="0" bestFit="0" customWidth="1" width="28.000000" style="19"/>
    <col min="5" max="5" hidden="0" bestFit="0" customWidth="1" width="15.000000" style="10"/>
    <col min="6" max="6" hidden="0" bestFit="0" customWidth="1" width="20.300000" style="20"/>
    <col min="7" max="7" hidden="0" bestFit="0" customWidth="1" width="15.000000" style="10"/>
    <col min="8" max="8" hidden="0" bestFit="0" customWidth="1" width="10.000000" style="21"/>
    <col min="9" max="9" hidden="0" bestFit="0" customWidth="1" width="14.500000" style="9"/>
    <col min="10" max="10" hidden="0" bestFit="0" customWidth="1" width="10.000000" style="21"/>
  </cols>
  <sheetData>
    <row r="1">
      <c r="A1" s="6" t="inlineStr">
        <is>
          <t xml:space="preserve">Sample</t>
        </is>
      </c>
      <c r="B1" s="7" t="inlineStr">
        <is>
          <t xml:space="preserve">Library</t>
        </is>
      </c>
      <c r="C1" s="7" t="inlineStr">
        <is>
          <t xml:space="preserve">FlowCell_Lane</t>
        </is>
      </c>
      <c r="D1" s="19" t="inlineStr">
        <is>
          <t xml:space="preserve">Amplicon</t>
        </is>
      </c>
      <c r="E1" s="10" t="inlineStr">
        <is>
          <t xml:space="preserve">raw_Depth</t>
        </is>
      </c>
      <c r="F1" s="20" t="inlineStr">
        <is>
          <t xml:space="preserve">raw_Uniformity</t>
        </is>
      </c>
      <c r="G1" s="10" t="inlineStr">
        <is>
          <t xml:space="preserve">raw_RoT</t>
        </is>
      </c>
      <c r="H1" s="21" t="inlineStr">
        <is>
          <t xml:space="preserve">Depth</t>
        </is>
      </c>
      <c r="I1" s="9" t="inlineStr">
        <is>
          <t xml:space="preserve">Uniformity</t>
        </is>
      </c>
      <c r="J1" s="21" t="inlineStr">
        <is>
          <t xml:space="preserve">RoT</t>
        </is>
      </c>
    </row>
    <row r="2">
      <c r="A2" s="6" t="inlineStr">
        <is>
          <t xml:space="preserve">HRD-177-26S052587</t>
        </is>
      </c>
      <c r="B2" s="7" t="inlineStr">
        <is>
          <t xml:space="preserve">HRD-177-26S052587</t>
        </is>
      </c>
      <c r="C2" s="7" t="inlineStr">
        <is>
          <t xml:space="preserve">AHL3NVDRX7_1</t>
        </is>
      </c>
      <c r="D2" s="19" t="inlineStr">
        <is>
          <t xml:space="preserve">W0001_ATM_E02-03</t>
        </is>
      </c>
      <c r="E2" s="2">
        <v>3444</v>
      </c>
      <c r="F2" s="20" t="inlineStr">
        <is>
          <t xml:space="preserve">+</t>
        </is>
      </c>
      <c r="G2" s="4">
        <v>1.132</v>
      </c>
      <c r="H2" s="2">
        <v>2618</v>
      </c>
      <c r="I2" s="9" t="inlineStr">
        <is>
          <t xml:space="preserve">+</t>
        </is>
      </c>
      <c r="J2" s="4">
        <v>1.181</v>
      </c>
    </row>
    <row r="3">
      <c r="A3" s="6" t="inlineStr">
        <is>
          <t xml:space="preserve">HRD-177-26S052587</t>
        </is>
      </c>
      <c r="B3" s="7" t="inlineStr">
        <is>
          <t xml:space="preserve">HRD-177-26S052587</t>
        </is>
      </c>
      <c r="C3" s="7" t="inlineStr">
        <is>
          <t xml:space="preserve">AHL3NVDRX7_1</t>
        </is>
      </c>
      <c r="D3" s="19" t="inlineStr">
        <is>
          <t xml:space="preserve">W0002_ATM_E02-03</t>
        </is>
      </c>
      <c r="E3" s="2">
        <v>2803</v>
      </c>
      <c r="F3" s="20" t="inlineStr">
        <is>
          <t xml:space="preserve">+</t>
        </is>
      </c>
      <c r="G3" s="4">
        <v>0.921</v>
      </c>
      <c r="H3" s="2">
        <v>2162</v>
      </c>
      <c r="I3" s="9" t="inlineStr">
        <is>
          <t xml:space="preserve">+</t>
        </is>
      </c>
      <c r="J3" s="4">
        <v>0.975</v>
      </c>
    </row>
    <row r="4">
      <c r="A4" s="6" t="inlineStr">
        <is>
          <t xml:space="preserve">HRD-177-26S052587</t>
        </is>
      </c>
      <c r="B4" s="7" t="inlineStr">
        <is>
          <t xml:space="preserve">HRD-177-26S052587</t>
        </is>
      </c>
      <c r="C4" s="7" t="inlineStr">
        <is>
          <t xml:space="preserve">AHL3NVDRX7_1</t>
        </is>
      </c>
      <c r="D4" s="19" t="inlineStr">
        <is>
          <t xml:space="preserve">W0003_ATM_E02-03</t>
        </is>
      </c>
      <c r="E4" s="2">
        <v>4033</v>
      </c>
      <c r="F4" s="20" t="inlineStr">
        <is>
          <t xml:space="preserve">+</t>
        </is>
      </c>
      <c r="G4" s="4">
        <v>1.325</v>
      </c>
      <c r="H4" s="2">
        <v>3053</v>
      </c>
      <c r="I4" s="9" t="inlineStr">
        <is>
          <t xml:space="preserve">+</t>
        </is>
      </c>
      <c r="J4" s="4">
        <v>1.377</v>
      </c>
    </row>
    <row r="5">
      <c r="A5" s="6" t="inlineStr">
        <is>
          <t xml:space="preserve">HRD-177-26S052587</t>
        </is>
      </c>
      <c r="B5" s="7" t="inlineStr">
        <is>
          <t xml:space="preserve">HRD-177-26S052587</t>
        </is>
      </c>
      <c r="C5" s="7" t="inlineStr">
        <is>
          <t xml:space="preserve">AHL3NVDRX7_1</t>
        </is>
      </c>
      <c r="D5" s="19" t="inlineStr">
        <is>
          <t xml:space="preserve">W0004_ATM_E04</t>
        </is>
      </c>
      <c r="E5" s="2">
        <v>2878</v>
      </c>
      <c r="F5" s="20" t="inlineStr">
        <is>
          <t xml:space="preserve">+</t>
        </is>
      </c>
      <c r="G5" s="4">
        <v>0.946</v>
      </c>
      <c r="H5" s="2">
        <v>2203</v>
      </c>
      <c r="I5" s="9" t="inlineStr">
        <is>
          <t xml:space="preserve">+</t>
        </is>
      </c>
      <c r="J5" s="4">
        <v>0.994</v>
      </c>
    </row>
    <row r="6">
      <c r="A6" s="6" t="inlineStr">
        <is>
          <t xml:space="preserve">HRD-177-26S052587</t>
        </is>
      </c>
      <c r="B6" s="7" t="inlineStr">
        <is>
          <t xml:space="preserve">HRD-177-26S052587</t>
        </is>
      </c>
      <c r="C6" s="7" t="inlineStr">
        <is>
          <t xml:space="preserve">AHL3NVDRX7_1</t>
        </is>
      </c>
      <c r="D6" s="19" t="inlineStr">
        <is>
          <t xml:space="preserve">W0005_ATM_E04</t>
        </is>
      </c>
      <c r="E6" s="2">
        <v>5083</v>
      </c>
      <c r="F6" s="20" t="inlineStr">
        <is>
          <t xml:space="preserve">+</t>
        </is>
      </c>
      <c r="G6" s="4">
        <v>1.671</v>
      </c>
      <c r="H6" s="2">
        <v>3783</v>
      </c>
      <c r="I6" s="9" t="inlineStr">
        <is>
          <t xml:space="preserve">+</t>
        </is>
      </c>
      <c r="J6" s="4">
        <v>1.707</v>
      </c>
    </row>
    <row r="7">
      <c r="A7" s="6" t="inlineStr">
        <is>
          <t xml:space="preserve">HRD-177-26S052587</t>
        </is>
      </c>
      <c r="B7" s="7" t="inlineStr">
        <is>
          <t xml:space="preserve">HRD-177-26S052587</t>
        </is>
      </c>
      <c r="C7" s="7" t="inlineStr">
        <is>
          <t xml:space="preserve">AHL3NVDRX7_1</t>
        </is>
      </c>
      <c r="D7" s="19" t="inlineStr">
        <is>
          <t xml:space="preserve">W0006_ATM_E05</t>
        </is>
      </c>
      <c r="E7" s="2">
        <v>3013</v>
      </c>
      <c r="F7" s="20" t="inlineStr">
        <is>
          <t xml:space="preserve">+</t>
        </is>
      </c>
      <c r="G7" s="4">
        <v>0.99</v>
      </c>
      <c r="H7" s="2">
        <v>2276</v>
      </c>
      <c r="I7" s="9" t="inlineStr">
        <is>
          <t xml:space="preserve">+</t>
        </is>
      </c>
      <c r="J7" s="4">
        <v>1.027</v>
      </c>
    </row>
    <row r="8">
      <c r="A8" s="6" t="inlineStr">
        <is>
          <t xml:space="preserve">HRD-177-26S052587</t>
        </is>
      </c>
      <c r="B8" s="7" t="inlineStr">
        <is>
          <t xml:space="preserve">HRD-177-26S052587</t>
        </is>
      </c>
      <c r="C8" s="7" t="inlineStr">
        <is>
          <t xml:space="preserve">AHL3NVDRX7_1</t>
        </is>
      </c>
      <c r="D8" s="19" t="inlineStr">
        <is>
          <t xml:space="preserve">W0007_ATM_E05</t>
        </is>
      </c>
      <c r="E8" s="2">
        <v>3486</v>
      </c>
      <c r="F8" s="20" t="inlineStr">
        <is>
          <t xml:space="preserve">+</t>
        </is>
      </c>
      <c r="G8" s="4">
        <v>1.146</v>
      </c>
      <c r="H8" s="2">
        <v>2628</v>
      </c>
      <c r="I8" s="9" t="inlineStr">
        <is>
          <t xml:space="preserve">+</t>
        </is>
      </c>
      <c r="J8" s="4">
        <v>1.186</v>
      </c>
    </row>
    <row r="9">
      <c r="A9" s="6" t="inlineStr">
        <is>
          <t xml:space="preserve">HRD-177-26S052587</t>
        </is>
      </c>
      <c r="B9" s="7" t="inlineStr">
        <is>
          <t xml:space="preserve">HRD-177-26S052587</t>
        </is>
      </c>
      <c r="C9" s="7" t="inlineStr">
        <is>
          <t xml:space="preserve">AHL3NVDRX7_1</t>
        </is>
      </c>
      <c r="D9" s="19" t="inlineStr">
        <is>
          <t xml:space="preserve">W0008_ATM_E06</t>
        </is>
      </c>
      <c r="E9" s="2">
        <v>1164</v>
      </c>
      <c r="F9" s="20" t="inlineStr">
        <is>
          <t xml:space="preserve">+</t>
        </is>
      </c>
      <c r="G9" s="4">
        <v>0.383</v>
      </c>
      <c r="H9" s="2">
        <v>948</v>
      </c>
      <c r="I9" s="9" t="inlineStr">
        <is>
          <t xml:space="preserve">+</t>
        </is>
      </c>
      <c r="J9" s="4">
        <v>0.428</v>
      </c>
    </row>
    <row r="10">
      <c r="A10" s="6" t="inlineStr">
        <is>
          <t xml:space="preserve">HRD-177-26S052587</t>
        </is>
      </c>
      <c r="B10" s="7" t="inlineStr">
        <is>
          <t xml:space="preserve">HRD-177-26S052587</t>
        </is>
      </c>
      <c r="C10" s="7" t="inlineStr">
        <is>
          <t xml:space="preserve">AHL3NVDRX7_1</t>
        </is>
      </c>
      <c r="D10" s="19" t="inlineStr">
        <is>
          <t xml:space="preserve">W0009_ATM_E06</t>
        </is>
      </c>
      <c r="E10" s="2">
        <v>2858</v>
      </c>
      <c r="F10" s="20" t="inlineStr">
        <is>
          <t xml:space="preserve">+</t>
        </is>
      </c>
      <c r="G10" s="4">
        <v>0.939</v>
      </c>
      <c r="H10" s="2">
        <v>2198</v>
      </c>
      <c r="I10" s="9" t="inlineStr">
        <is>
          <t xml:space="preserve">+</t>
        </is>
      </c>
      <c r="J10" s="4">
        <v>0.992</v>
      </c>
    </row>
    <row r="11">
      <c r="A11" s="6" t="inlineStr">
        <is>
          <t xml:space="preserve">HRD-177-26S052587</t>
        </is>
      </c>
      <c r="B11" s="7" t="inlineStr">
        <is>
          <t xml:space="preserve">HRD-177-26S052587</t>
        </is>
      </c>
      <c r="C11" s="7" t="inlineStr">
        <is>
          <t xml:space="preserve">AHL3NVDRX7_1</t>
        </is>
      </c>
      <c r="D11" s="19" t="inlineStr">
        <is>
          <t xml:space="preserve">W0010_ATM_E07</t>
        </is>
      </c>
      <c r="E11" s="2">
        <v>2750</v>
      </c>
      <c r="F11" s="20" t="inlineStr">
        <is>
          <t xml:space="preserve">+</t>
        </is>
      </c>
      <c r="G11" s="4">
        <v>0.904</v>
      </c>
      <c r="H11" s="2">
        <v>2127</v>
      </c>
      <c r="I11" s="9" t="inlineStr">
        <is>
          <t xml:space="preserve">+</t>
        </is>
      </c>
      <c r="J11" s="4">
        <v>0.96</v>
      </c>
    </row>
    <row r="12">
      <c r="A12" s="6" t="inlineStr">
        <is>
          <t xml:space="preserve">HRD-177-26S052587</t>
        </is>
      </c>
      <c r="B12" s="7" t="inlineStr">
        <is>
          <t xml:space="preserve">HRD-177-26S052587</t>
        </is>
      </c>
      <c r="C12" s="7" t="inlineStr">
        <is>
          <t xml:space="preserve">AHL3NVDRX7_1</t>
        </is>
      </c>
      <c r="D12" s="19" t="inlineStr">
        <is>
          <t xml:space="preserve">W0011_ATM_E07</t>
        </is>
      </c>
      <c r="E12" s="2">
        <v>2220</v>
      </c>
      <c r="F12" s="20" t="inlineStr">
        <is>
          <t xml:space="preserve">+</t>
        </is>
      </c>
      <c r="G12" s="4">
        <v>0.73</v>
      </c>
      <c r="H12" s="2">
        <v>1703</v>
      </c>
      <c r="I12" s="9" t="inlineStr">
        <is>
          <t xml:space="preserve">+</t>
        </is>
      </c>
      <c r="J12" s="4">
        <v>0.768</v>
      </c>
    </row>
    <row r="13">
      <c r="A13" s="6" t="inlineStr">
        <is>
          <t xml:space="preserve">HRD-177-26S052587</t>
        </is>
      </c>
      <c r="B13" s="7" t="inlineStr">
        <is>
          <t xml:space="preserve">HRD-177-26S052587</t>
        </is>
      </c>
      <c r="C13" s="7" t="inlineStr">
        <is>
          <t xml:space="preserve">AHL3NVDRX7_1</t>
        </is>
      </c>
      <c r="D13" s="19" t="inlineStr">
        <is>
          <t xml:space="preserve">W0012_ATM_E08</t>
        </is>
      </c>
      <c r="E13" s="2">
        <v>3000</v>
      </c>
      <c r="F13" s="20" t="inlineStr">
        <is>
          <t xml:space="preserve">+</t>
        </is>
      </c>
      <c r="G13" s="4">
        <v>0.986</v>
      </c>
      <c r="H13" s="2">
        <v>2280</v>
      </c>
      <c r="I13" s="9" t="inlineStr">
        <is>
          <t xml:space="preserve">+</t>
        </is>
      </c>
      <c r="J13" s="4">
        <v>1.029</v>
      </c>
    </row>
    <row r="14">
      <c r="A14" s="6" t="inlineStr">
        <is>
          <t xml:space="preserve">HRD-177-26S052587</t>
        </is>
      </c>
      <c r="B14" s="7" t="inlineStr">
        <is>
          <t xml:space="preserve">HRD-177-26S052587</t>
        </is>
      </c>
      <c r="C14" s="7" t="inlineStr">
        <is>
          <t xml:space="preserve">AHL3NVDRX7_1</t>
        </is>
      </c>
      <c r="D14" s="19" t="inlineStr">
        <is>
          <t xml:space="preserve">W0013_ATM_E08</t>
        </is>
      </c>
      <c r="E14" s="2">
        <v>2011</v>
      </c>
      <c r="F14" s="20" t="inlineStr">
        <is>
          <t xml:space="preserve">+</t>
        </is>
      </c>
      <c r="G14" s="4">
        <v>0.661</v>
      </c>
      <c r="H14" s="2">
        <v>1551</v>
      </c>
      <c r="I14" s="9" t="inlineStr">
        <is>
          <t xml:space="preserve">+</t>
        </is>
      </c>
      <c r="J14" s="4">
        <v>0.7</v>
      </c>
    </row>
    <row r="15">
      <c r="A15" s="6" t="inlineStr">
        <is>
          <t xml:space="preserve">HRD-177-26S052587</t>
        </is>
      </c>
      <c r="B15" s="7" t="inlineStr">
        <is>
          <t xml:space="preserve">HRD-177-26S052587</t>
        </is>
      </c>
      <c r="C15" s="7" t="inlineStr">
        <is>
          <t xml:space="preserve">AHL3NVDRX7_1</t>
        </is>
      </c>
      <c r="D15" s="19" t="inlineStr">
        <is>
          <t xml:space="preserve">W0014_ATM_E09</t>
        </is>
      </c>
      <c r="E15" s="2">
        <v>1333</v>
      </c>
      <c r="F15" s="20" t="inlineStr">
        <is>
          <t xml:space="preserve">+</t>
        </is>
      </c>
      <c r="G15" s="4">
        <v>0.438</v>
      </c>
      <c r="H15" s="2">
        <v>1076</v>
      </c>
      <c r="I15" s="9" t="inlineStr">
        <is>
          <t xml:space="preserve">+</t>
        </is>
      </c>
      <c r="J15" s="4">
        <v>0.485</v>
      </c>
    </row>
    <row r="16">
      <c r="A16" s="6" t="inlineStr">
        <is>
          <t xml:space="preserve">HRD-177-26S052587</t>
        </is>
      </c>
      <c r="B16" s="7" t="inlineStr">
        <is>
          <t xml:space="preserve">HRD-177-26S052587</t>
        </is>
      </c>
      <c r="C16" s="7" t="inlineStr">
        <is>
          <t xml:space="preserve">AHL3NVDRX7_1</t>
        </is>
      </c>
      <c r="D16" s="19" t="inlineStr">
        <is>
          <t xml:space="preserve">W0015_ATM_E09</t>
        </is>
      </c>
      <c r="E16" s="2">
        <v>3054</v>
      </c>
      <c r="F16" s="20" t="inlineStr">
        <is>
          <t xml:space="preserve">+</t>
        </is>
      </c>
      <c r="G16" s="4">
        <v>1.004</v>
      </c>
      <c r="H16" s="2">
        <v>2321</v>
      </c>
      <c r="I16" s="9" t="inlineStr">
        <is>
          <t xml:space="preserve">+</t>
        </is>
      </c>
      <c r="J16" s="4">
        <v>1.047</v>
      </c>
    </row>
    <row r="17">
      <c r="A17" s="6" t="inlineStr">
        <is>
          <t xml:space="preserve">HRD-177-26S052587</t>
        </is>
      </c>
      <c r="B17" s="7" t="inlineStr">
        <is>
          <t xml:space="preserve">HRD-177-26S052587</t>
        </is>
      </c>
      <c r="C17" s="7" t="inlineStr">
        <is>
          <t xml:space="preserve">AHL3NVDRX7_1</t>
        </is>
      </c>
      <c r="D17" s="19" t="inlineStr">
        <is>
          <t xml:space="preserve">W0016_ATM_E10</t>
        </is>
      </c>
      <c r="E17" s="2">
        <v>1944</v>
      </c>
      <c r="F17" s="20" t="inlineStr">
        <is>
          <t xml:space="preserve">+</t>
        </is>
      </c>
      <c r="G17" s="4">
        <v>0.639</v>
      </c>
      <c r="H17" s="2">
        <v>1506</v>
      </c>
      <c r="I17" s="9" t="inlineStr">
        <is>
          <t xml:space="preserve">+</t>
        </is>
      </c>
      <c r="J17" s="4">
        <v>0.679</v>
      </c>
    </row>
    <row r="18">
      <c r="A18" s="6" t="inlineStr">
        <is>
          <t xml:space="preserve">HRD-177-26S052587</t>
        </is>
      </c>
      <c r="B18" s="7" t="inlineStr">
        <is>
          <t xml:space="preserve">HRD-177-26S052587</t>
        </is>
      </c>
      <c r="C18" s="7" t="inlineStr">
        <is>
          <t xml:space="preserve">AHL3NVDRX7_1</t>
        </is>
      </c>
      <c r="D18" s="19" t="inlineStr">
        <is>
          <t xml:space="preserve">W0017_ATM_E10</t>
        </is>
      </c>
      <c r="E18" s="2">
        <v>3005</v>
      </c>
      <c r="F18" s="20" t="inlineStr">
        <is>
          <t xml:space="preserve">+</t>
        </is>
      </c>
      <c r="G18" s="4">
        <v>0.988</v>
      </c>
      <c r="H18" s="2">
        <v>2202</v>
      </c>
      <c r="I18" s="9" t="inlineStr">
        <is>
          <t xml:space="preserve">+</t>
        </is>
      </c>
      <c r="J18" s="4">
        <v>0.993</v>
      </c>
    </row>
    <row r="19">
      <c r="A19" s="6" t="inlineStr">
        <is>
          <t xml:space="preserve">HRD-177-26S052587</t>
        </is>
      </c>
      <c r="B19" s="7" t="inlineStr">
        <is>
          <t xml:space="preserve">HRD-177-26S052587</t>
        </is>
      </c>
      <c r="C19" s="7" t="inlineStr">
        <is>
          <t xml:space="preserve">AHL3NVDRX7_1</t>
        </is>
      </c>
      <c r="D19" s="19" t="inlineStr">
        <is>
          <t xml:space="preserve">W0018_ATM_E10</t>
        </is>
      </c>
      <c r="E19" s="2">
        <v>3183</v>
      </c>
      <c r="F19" s="20" t="inlineStr">
        <is>
          <t xml:space="preserve">+</t>
        </is>
      </c>
      <c r="G19" s="4">
        <v>1.046</v>
      </c>
      <c r="H19" s="2">
        <v>2414</v>
      </c>
      <c r="I19" s="9" t="inlineStr">
        <is>
          <t xml:space="preserve">+</t>
        </is>
      </c>
      <c r="J19" s="4">
        <v>1.089</v>
      </c>
    </row>
    <row r="20">
      <c r="A20" s="6" t="inlineStr">
        <is>
          <t xml:space="preserve">HRD-177-26S052587</t>
        </is>
      </c>
      <c r="B20" s="7" t="inlineStr">
        <is>
          <t xml:space="preserve">HRD-177-26S052587</t>
        </is>
      </c>
      <c r="C20" s="7" t="inlineStr">
        <is>
          <t xml:space="preserve">AHL3NVDRX7_1</t>
        </is>
      </c>
      <c r="D20" s="19" t="inlineStr">
        <is>
          <t xml:space="preserve">W0019_ATM_E11</t>
        </is>
      </c>
      <c r="E20" s="2">
        <v>3647</v>
      </c>
      <c r="F20" s="20" t="inlineStr">
        <is>
          <t xml:space="preserve">+</t>
        </is>
      </c>
      <c r="G20" s="4">
        <v>1.199</v>
      </c>
      <c r="H20" s="2">
        <v>2755</v>
      </c>
      <c r="I20" s="9" t="inlineStr">
        <is>
          <t xml:space="preserve">+</t>
        </is>
      </c>
      <c r="J20" s="4">
        <v>1.243</v>
      </c>
    </row>
    <row r="21">
      <c r="A21" s="6" t="inlineStr">
        <is>
          <t xml:space="preserve">HRD-177-26S052587</t>
        </is>
      </c>
      <c r="B21" s="7" t="inlineStr">
        <is>
          <t xml:space="preserve">HRD-177-26S052587</t>
        </is>
      </c>
      <c r="C21" s="7" t="inlineStr">
        <is>
          <t xml:space="preserve">AHL3NVDRX7_1</t>
        </is>
      </c>
      <c r="D21" s="19" t="inlineStr">
        <is>
          <t xml:space="preserve">W0020_ATM_E11</t>
        </is>
      </c>
      <c r="E21" s="2">
        <v>3167</v>
      </c>
      <c r="F21" s="20" t="inlineStr">
        <is>
          <t xml:space="preserve">+</t>
        </is>
      </c>
      <c r="G21" s="4">
        <v>1.041</v>
      </c>
      <c r="H21" s="2">
        <v>2410</v>
      </c>
      <c r="I21" s="9" t="inlineStr">
        <is>
          <t xml:space="preserve">+</t>
        </is>
      </c>
      <c r="J21" s="4">
        <v>1.087</v>
      </c>
    </row>
    <row r="22">
      <c r="A22" s="6" t="inlineStr">
        <is>
          <t xml:space="preserve">HRD-177-26S052587</t>
        </is>
      </c>
      <c r="B22" s="7" t="inlineStr">
        <is>
          <t xml:space="preserve">HRD-177-26S052587</t>
        </is>
      </c>
      <c r="C22" s="7" t="inlineStr">
        <is>
          <t xml:space="preserve">AHL3NVDRX7_1</t>
        </is>
      </c>
      <c r="D22" s="19" t="inlineStr">
        <is>
          <t xml:space="preserve">W0021_ATM_E12</t>
        </is>
      </c>
      <c r="E22" s="2">
        <v>5003</v>
      </c>
      <c r="F22" s="20" t="inlineStr">
        <is>
          <t xml:space="preserve">+</t>
        </is>
      </c>
      <c r="G22" s="4">
        <v>1.644</v>
      </c>
      <c r="H22" s="2">
        <v>3726</v>
      </c>
      <c r="I22" s="9" t="inlineStr">
        <is>
          <t xml:space="preserve">+</t>
        </is>
      </c>
      <c r="J22" s="4">
        <v>1.681</v>
      </c>
    </row>
    <row r="23">
      <c r="A23" s="6" t="inlineStr">
        <is>
          <t xml:space="preserve">HRD-177-26S052587</t>
        </is>
      </c>
      <c r="B23" s="7" t="inlineStr">
        <is>
          <t xml:space="preserve">HRD-177-26S052587</t>
        </is>
      </c>
      <c r="C23" s="7" t="inlineStr">
        <is>
          <t xml:space="preserve">AHL3NVDRX7_1</t>
        </is>
      </c>
      <c r="D23" s="19" t="inlineStr">
        <is>
          <t xml:space="preserve">W0022_ATM_E12</t>
        </is>
      </c>
      <c r="E23" s="2">
        <v>3551</v>
      </c>
      <c r="F23" s="20" t="inlineStr">
        <is>
          <t xml:space="preserve">+</t>
        </is>
      </c>
      <c r="G23" s="4">
        <v>1.167</v>
      </c>
      <c r="H23" s="2">
        <v>2688</v>
      </c>
      <c r="I23" s="9" t="inlineStr">
        <is>
          <t xml:space="preserve">+</t>
        </is>
      </c>
      <c r="J23" s="4">
        <v>1.213</v>
      </c>
    </row>
    <row r="24">
      <c r="A24" s="6" t="inlineStr">
        <is>
          <t xml:space="preserve">HRD-177-26S052587</t>
        </is>
      </c>
      <c r="B24" s="7" t="inlineStr">
        <is>
          <t xml:space="preserve">HRD-177-26S052587</t>
        </is>
      </c>
      <c r="C24" s="7" t="inlineStr">
        <is>
          <t xml:space="preserve">AHL3NVDRX7_1</t>
        </is>
      </c>
      <c r="D24" s="19" t="inlineStr">
        <is>
          <t xml:space="preserve">W0023_ATM_E13</t>
        </is>
      </c>
      <c r="E24" s="2">
        <v>3199</v>
      </c>
      <c r="F24" s="20" t="inlineStr">
        <is>
          <t xml:space="preserve">+</t>
        </is>
      </c>
      <c r="G24" s="4">
        <v>1.051</v>
      </c>
      <c r="H24" s="2">
        <v>2491</v>
      </c>
      <c r="I24" s="9" t="inlineStr">
        <is>
          <t xml:space="preserve">+</t>
        </is>
      </c>
      <c r="J24" s="4">
        <v>1.124</v>
      </c>
    </row>
    <row r="25">
      <c r="A25" s="6" t="inlineStr">
        <is>
          <t xml:space="preserve">HRD-177-26S052587</t>
        </is>
      </c>
      <c r="B25" s="7" t="inlineStr">
        <is>
          <t xml:space="preserve">HRD-177-26S052587</t>
        </is>
      </c>
      <c r="C25" s="7" t="inlineStr">
        <is>
          <t xml:space="preserve">AHL3NVDRX7_1</t>
        </is>
      </c>
      <c r="D25" s="19" t="inlineStr">
        <is>
          <t xml:space="preserve">W0024_ATM_E13</t>
        </is>
      </c>
      <c r="E25" s="2">
        <v>2777</v>
      </c>
      <c r="F25" s="20" t="inlineStr">
        <is>
          <t xml:space="preserve">+</t>
        </is>
      </c>
      <c r="G25" s="4">
        <v>0.913</v>
      </c>
      <c r="H25" s="2">
        <v>2160</v>
      </c>
      <c r="I25" s="9" t="inlineStr">
        <is>
          <t xml:space="preserve">+</t>
        </is>
      </c>
      <c r="J25" s="4">
        <v>0.974</v>
      </c>
    </row>
    <row r="26">
      <c r="A26" s="6" t="inlineStr">
        <is>
          <t xml:space="preserve">HRD-177-26S052587</t>
        </is>
      </c>
      <c r="B26" s="7" t="inlineStr">
        <is>
          <t xml:space="preserve">HRD-177-26S052587</t>
        </is>
      </c>
      <c r="C26" s="7" t="inlineStr">
        <is>
          <t xml:space="preserve">AHL3NVDRX7_1</t>
        </is>
      </c>
      <c r="D26" s="19" t="inlineStr">
        <is>
          <t xml:space="preserve">W0025_ATM_E14</t>
        </is>
      </c>
      <c r="E26" s="2">
        <v>1023</v>
      </c>
      <c r="F26" s="20" t="inlineStr">
        <is>
          <t xml:space="preserve">+</t>
        </is>
      </c>
      <c r="G26" s="4">
        <v>0.336</v>
      </c>
      <c r="H26" s="2">
        <v>805</v>
      </c>
      <c r="I26" s="9" t="inlineStr">
        <is>
          <t xml:space="preserve">+</t>
        </is>
      </c>
      <c r="J26" s="4">
        <v>0.363</v>
      </c>
    </row>
    <row r="27">
      <c r="A27" s="6" t="inlineStr">
        <is>
          <t xml:space="preserve">HRD-177-26S052587</t>
        </is>
      </c>
      <c r="B27" s="7" t="inlineStr">
        <is>
          <t xml:space="preserve">HRD-177-26S052587</t>
        </is>
      </c>
      <c r="C27" s="7" t="inlineStr">
        <is>
          <t xml:space="preserve">AHL3NVDRX7_1</t>
        </is>
      </c>
      <c r="D27" s="19" t="inlineStr">
        <is>
          <t xml:space="preserve">W0026_ATM_E14</t>
        </is>
      </c>
      <c r="E27" s="2">
        <v>4282</v>
      </c>
      <c r="F27" s="20" t="inlineStr">
        <is>
          <t xml:space="preserve">+</t>
        </is>
      </c>
      <c r="G27" s="4">
        <v>1.407</v>
      </c>
      <c r="H27" s="2">
        <v>3256</v>
      </c>
      <c r="I27" s="9" t="inlineStr">
        <is>
          <t xml:space="preserve">+</t>
        </is>
      </c>
      <c r="J27" s="4">
        <v>1.469</v>
      </c>
    </row>
    <row r="28">
      <c r="A28" s="6" t="inlineStr">
        <is>
          <t xml:space="preserve">HRD-177-26S052587</t>
        </is>
      </c>
      <c r="B28" s="7" t="inlineStr">
        <is>
          <t xml:space="preserve">HRD-177-26S052587</t>
        </is>
      </c>
      <c r="C28" s="7" t="inlineStr">
        <is>
          <t xml:space="preserve">AHL3NVDRX7_1</t>
        </is>
      </c>
      <c r="D28" s="19" t="inlineStr">
        <is>
          <t xml:space="preserve">W0027_ATM_E15</t>
        </is>
      </c>
      <c r="E28" s="2">
        <v>2787</v>
      </c>
      <c r="F28" s="20" t="inlineStr">
        <is>
          <t xml:space="preserve">+</t>
        </is>
      </c>
      <c r="G28" s="4">
        <v>0.916</v>
      </c>
      <c r="H28" s="2">
        <v>2142</v>
      </c>
      <c r="I28" s="9" t="inlineStr">
        <is>
          <t xml:space="preserve">+</t>
        </is>
      </c>
      <c r="J28" s="4">
        <v>0.966</v>
      </c>
    </row>
    <row r="29">
      <c r="A29" s="6" t="inlineStr">
        <is>
          <t xml:space="preserve">HRD-177-26S052587</t>
        </is>
      </c>
      <c r="B29" s="7" t="inlineStr">
        <is>
          <t xml:space="preserve">HRD-177-26S052587</t>
        </is>
      </c>
      <c r="C29" s="7" t="inlineStr">
        <is>
          <t xml:space="preserve">AHL3NVDRX7_1</t>
        </is>
      </c>
      <c r="D29" s="19" t="inlineStr">
        <is>
          <t xml:space="preserve">W0028_ATM_E15</t>
        </is>
      </c>
      <c r="E29" s="2">
        <v>3160</v>
      </c>
      <c r="F29" s="20" t="inlineStr">
        <is>
          <t xml:space="preserve">+</t>
        </is>
      </c>
      <c r="G29" s="4">
        <v>1.039</v>
      </c>
      <c r="H29" s="2">
        <v>2397</v>
      </c>
      <c r="I29" s="9" t="inlineStr">
        <is>
          <t xml:space="preserve">+</t>
        </is>
      </c>
      <c r="J29" s="4">
        <v>1.081</v>
      </c>
    </row>
    <row r="30">
      <c r="A30" s="6" t="inlineStr">
        <is>
          <t xml:space="preserve">HRD-177-26S052587</t>
        </is>
      </c>
      <c r="B30" s="7" t="inlineStr">
        <is>
          <t xml:space="preserve">HRD-177-26S052587</t>
        </is>
      </c>
      <c r="C30" s="7" t="inlineStr">
        <is>
          <t xml:space="preserve">AHL3NVDRX7_1</t>
        </is>
      </c>
      <c r="D30" s="19" t="inlineStr">
        <is>
          <t xml:space="preserve">W0029_ATM_E16</t>
        </is>
      </c>
      <c r="E30" s="2">
        <v>4677</v>
      </c>
      <c r="F30" s="20" t="inlineStr">
        <is>
          <t xml:space="preserve">+</t>
        </is>
      </c>
      <c r="G30" s="4">
        <v>1.537</v>
      </c>
      <c r="H30" s="2">
        <v>3408</v>
      </c>
      <c r="I30" s="9" t="inlineStr">
        <is>
          <t xml:space="preserve">+</t>
        </is>
      </c>
      <c r="J30" s="4">
        <v>1.537</v>
      </c>
    </row>
    <row r="31">
      <c r="A31" s="6" t="inlineStr">
        <is>
          <t xml:space="preserve">HRD-177-26S052587</t>
        </is>
      </c>
      <c r="B31" s="7" t="inlineStr">
        <is>
          <t xml:space="preserve">HRD-177-26S052587</t>
        </is>
      </c>
      <c r="C31" s="7" t="inlineStr">
        <is>
          <t xml:space="preserve">AHL3NVDRX7_1</t>
        </is>
      </c>
      <c r="D31" s="19" t="inlineStr">
        <is>
          <t xml:space="preserve">W0030_ATM_E16</t>
        </is>
      </c>
      <c r="E31" s="2">
        <v>3355</v>
      </c>
      <c r="F31" s="20" t="inlineStr">
        <is>
          <t xml:space="preserve">+</t>
        </is>
      </c>
      <c r="G31" s="4">
        <v>1.103</v>
      </c>
      <c r="H31" s="2">
        <v>2567</v>
      </c>
      <c r="I31" s="9" t="inlineStr">
        <is>
          <t xml:space="preserve">+</t>
        </is>
      </c>
      <c r="J31" s="4">
        <v>1.158</v>
      </c>
    </row>
    <row r="32">
      <c r="A32" s="6" t="inlineStr">
        <is>
          <t xml:space="preserve">HRD-177-26S052587</t>
        </is>
      </c>
      <c r="B32" s="7" t="inlineStr">
        <is>
          <t xml:space="preserve">HRD-177-26S052587</t>
        </is>
      </c>
      <c r="C32" s="7" t="inlineStr">
        <is>
          <t xml:space="preserve">AHL3NVDRX7_1</t>
        </is>
      </c>
      <c r="D32" s="19" t="inlineStr">
        <is>
          <t xml:space="preserve">W0031_ATM_E17</t>
        </is>
      </c>
      <c r="E32" s="2">
        <v>3566</v>
      </c>
      <c r="F32" s="20" t="inlineStr">
        <is>
          <t xml:space="preserve">+</t>
        </is>
      </c>
      <c r="G32" s="4">
        <v>1.172</v>
      </c>
      <c r="H32" s="2">
        <v>2619</v>
      </c>
      <c r="I32" s="9" t="inlineStr">
        <is>
          <t xml:space="preserve">+</t>
        </is>
      </c>
      <c r="J32" s="4">
        <v>1.182</v>
      </c>
    </row>
    <row r="33">
      <c r="A33" s="6" t="inlineStr">
        <is>
          <t xml:space="preserve">HRD-177-26S052587</t>
        </is>
      </c>
      <c r="B33" s="7" t="inlineStr">
        <is>
          <t xml:space="preserve">HRD-177-26S052587</t>
        </is>
      </c>
      <c r="C33" s="7" t="inlineStr">
        <is>
          <t xml:space="preserve">AHL3NVDRX7_1</t>
        </is>
      </c>
      <c r="D33" s="19" t="inlineStr">
        <is>
          <t xml:space="preserve">W0032_ATM_E17</t>
        </is>
      </c>
      <c r="E33" s="2">
        <v>3099</v>
      </c>
      <c r="F33" s="20" t="inlineStr">
        <is>
          <t xml:space="preserve">+</t>
        </is>
      </c>
      <c r="G33" s="4">
        <v>1.018</v>
      </c>
      <c r="H33" s="2">
        <v>2329</v>
      </c>
      <c r="I33" s="9" t="inlineStr">
        <is>
          <t xml:space="preserve">+</t>
        </is>
      </c>
      <c r="J33" s="4">
        <v>1.051</v>
      </c>
    </row>
    <row r="34">
      <c r="A34" s="6" t="inlineStr">
        <is>
          <t xml:space="preserve">HRD-177-26S052587</t>
        </is>
      </c>
      <c r="B34" s="7" t="inlineStr">
        <is>
          <t xml:space="preserve">HRD-177-26S052587</t>
        </is>
      </c>
      <c r="C34" s="7" t="inlineStr">
        <is>
          <t xml:space="preserve">AHL3NVDRX7_1</t>
        </is>
      </c>
      <c r="D34" s="19" t="inlineStr">
        <is>
          <t xml:space="preserve">W0033_ATM_E18</t>
        </is>
      </c>
      <c r="E34" s="2">
        <v>4486</v>
      </c>
      <c r="F34" s="20" t="inlineStr">
        <is>
          <t xml:space="preserve">+</t>
        </is>
      </c>
      <c r="G34" s="4">
        <v>1.474</v>
      </c>
      <c r="H34" s="2">
        <v>3334</v>
      </c>
      <c r="I34" s="9" t="inlineStr">
        <is>
          <t xml:space="preserve">+</t>
        </is>
      </c>
      <c r="J34" s="4">
        <v>1.504</v>
      </c>
    </row>
    <row r="35">
      <c r="A35" s="6" t="inlineStr">
        <is>
          <t xml:space="preserve">HRD-177-26S052587</t>
        </is>
      </c>
      <c r="B35" s="7" t="inlineStr">
        <is>
          <t xml:space="preserve">HRD-177-26S052587</t>
        </is>
      </c>
      <c r="C35" s="7" t="inlineStr">
        <is>
          <t xml:space="preserve">AHL3NVDRX7_1</t>
        </is>
      </c>
      <c r="D35" s="19" t="inlineStr">
        <is>
          <t xml:space="preserve">W0034_ATM_E18</t>
        </is>
      </c>
      <c r="E35" s="2">
        <v>3846</v>
      </c>
      <c r="F35" s="20" t="inlineStr">
        <is>
          <t xml:space="preserve">+</t>
        </is>
      </c>
      <c r="G35" s="4">
        <v>1.264</v>
      </c>
      <c r="H35" s="2">
        <v>2860</v>
      </c>
      <c r="I35" s="9" t="inlineStr">
        <is>
          <t xml:space="preserve">+</t>
        </is>
      </c>
      <c r="J35" s="4">
        <v>1.29</v>
      </c>
    </row>
    <row r="36">
      <c r="A36" s="6" t="inlineStr">
        <is>
          <t xml:space="preserve">HRD-177-26S052587</t>
        </is>
      </c>
      <c r="B36" s="7" t="inlineStr">
        <is>
          <t xml:space="preserve">HRD-177-26S052587</t>
        </is>
      </c>
      <c r="C36" s="7" t="inlineStr">
        <is>
          <t xml:space="preserve">AHL3NVDRX7_1</t>
        </is>
      </c>
      <c r="D36" s="19" t="inlineStr">
        <is>
          <t xml:space="preserve">W0035_ATM_E19-20</t>
        </is>
      </c>
      <c r="E36" s="2">
        <v>1394</v>
      </c>
      <c r="F36" s="20" t="inlineStr">
        <is>
          <t xml:space="preserve">+</t>
        </is>
      </c>
      <c r="G36" s="4">
        <v>0.458</v>
      </c>
      <c r="H36" s="2">
        <v>1093</v>
      </c>
      <c r="I36" s="9" t="inlineStr">
        <is>
          <t xml:space="preserve">+</t>
        </is>
      </c>
      <c r="J36" s="4">
        <v>0.493</v>
      </c>
    </row>
    <row r="37">
      <c r="A37" s="6" t="inlineStr">
        <is>
          <t xml:space="preserve">HRD-177-26S052587</t>
        </is>
      </c>
      <c r="B37" s="7" t="inlineStr">
        <is>
          <t xml:space="preserve">HRD-177-26S052587</t>
        </is>
      </c>
      <c r="C37" s="7" t="inlineStr">
        <is>
          <t xml:space="preserve">AHL3NVDRX7_1</t>
        </is>
      </c>
      <c r="D37" s="19" t="inlineStr">
        <is>
          <t xml:space="preserve">W0036_ATM_E19-20</t>
        </is>
      </c>
      <c r="E37" s="2">
        <v>2782</v>
      </c>
      <c r="F37" s="20" t="inlineStr">
        <is>
          <t xml:space="preserve">+</t>
        </is>
      </c>
      <c r="G37" s="4">
        <v>0.914</v>
      </c>
      <c r="H37" s="2">
        <v>2162</v>
      </c>
      <c r="I37" s="9" t="inlineStr">
        <is>
          <t xml:space="preserve">+</t>
        </is>
      </c>
      <c r="J37" s="4">
        <v>0.975</v>
      </c>
    </row>
    <row r="38">
      <c r="A38" s="6" t="inlineStr">
        <is>
          <t xml:space="preserve">HRD-177-26S052587</t>
        </is>
      </c>
      <c r="B38" s="7" t="inlineStr">
        <is>
          <t xml:space="preserve">HRD-177-26S052587</t>
        </is>
      </c>
      <c r="C38" s="7" t="inlineStr">
        <is>
          <t xml:space="preserve">AHL3NVDRX7_1</t>
        </is>
      </c>
      <c r="D38" s="19" t="inlineStr">
        <is>
          <t xml:space="preserve">W0037_ATM_E19-20</t>
        </is>
      </c>
      <c r="E38" s="2">
        <v>4910</v>
      </c>
      <c r="F38" s="20" t="inlineStr">
        <is>
          <t xml:space="preserve">+</t>
        </is>
      </c>
      <c r="G38" s="4">
        <v>1.614</v>
      </c>
      <c r="H38" s="2">
        <v>3453</v>
      </c>
      <c r="I38" s="9" t="inlineStr">
        <is>
          <t xml:space="preserve">+</t>
        </is>
      </c>
      <c r="J38" s="4">
        <v>1.558</v>
      </c>
    </row>
    <row r="39">
      <c r="A39" s="6" t="inlineStr">
        <is>
          <t xml:space="preserve">HRD-177-26S052587</t>
        </is>
      </c>
      <c r="B39" s="7" t="inlineStr">
        <is>
          <t xml:space="preserve">HRD-177-26S052587</t>
        </is>
      </c>
      <c r="C39" s="7" t="inlineStr">
        <is>
          <t xml:space="preserve">AHL3NVDRX7_1</t>
        </is>
      </c>
      <c r="D39" s="19" t="inlineStr">
        <is>
          <t xml:space="preserve">W0038_ATM_E19-20</t>
        </is>
      </c>
      <c r="E39" s="2">
        <v>5923</v>
      </c>
      <c r="F39" s="20" t="inlineStr">
        <is>
          <t xml:space="preserve">+</t>
        </is>
      </c>
      <c r="G39" s="4">
        <v>1.947</v>
      </c>
      <c r="H39" s="2">
        <v>4202</v>
      </c>
      <c r="I39" s="9" t="inlineStr">
        <is>
          <t xml:space="preserve">+</t>
        </is>
      </c>
      <c r="J39" s="4">
        <v>1.896</v>
      </c>
    </row>
    <row r="40">
      <c r="A40" s="6" t="inlineStr">
        <is>
          <t xml:space="preserve">HRD-177-26S052587</t>
        </is>
      </c>
      <c r="B40" s="7" t="inlineStr">
        <is>
          <t xml:space="preserve">HRD-177-26S052587</t>
        </is>
      </c>
      <c r="C40" s="7" t="inlineStr">
        <is>
          <t xml:space="preserve">AHL3NVDRX7_1</t>
        </is>
      </c>
      <c r="D40" s="19" t="inlineStr">
        <is>
          <t xml:space="preserve">W0039_ATM_E21-22</t>
        </is>
      </c>
      <c r="E40" s="2">
        <v>2764</v>
      </c>
      <c r="F40" s="20" t="inlineStr">
        <is>
          <t xml:space="preserve">+</t>
        </is>
      </c>
      <c r="G40" s="4">
        <v>0.908</v>
      </c>
      <c r="H40" s="2">
        <v>2111</v>
      </c>
      <c r="I40" s="9" t="inlineStr">
        <is>
          <t xml:space="preserve">+</t>
        </is>
      </c>
      <c r="J40" s="4">
        <v>0.952</v>
      </c>
    </row>
    <row r="41">
      <c r="A41" s="6" t="inlineStr">
        <is>
          <t xml:space="preserve">HRD-177-26S052587</t>
        </is>
      </c>
      <c r="B41" s="7" t="inlineStr">
        <is>
          <t xml:space="preserve">HRD-177-26S052587</t>
        </is>
      </c>
      <c r="C41" s="7" t="inlineStr">
        <is>
          <t xml:space="preserve">AHL3NVDRX7_1</t>
        </is>
      </c>
      <c r="D41" s="19" t="inlineStr">
        <is>
          <t xml:space="preserve">W0040_ATM_E21-22</t>
        </is>
      </c>
      <c r="E41" s="2">
        <v>1429</v>
      </c>
      <c r="F41" s="20" t="inlineStr">
        <is>
          <t xml:space="preserve">+</t>
        </is>
      </c>
      <c r="G41" s="4">
        <v>0.47</v>
      </c>
      <c r="H41" s="2">
        <v>1134</v>
      </c>
      <c r="I41" s="9" t="inlineStr">
        <is>
          <t xml:space="preserve">+</t>
        </is>
      </c>
      <c r="J41" s="4">
        <v>0.512</v>
      </c>
    </row>
    <row r="42">
      <c r="A42" s="6" t="inlineStr">
        <is>
          <t xml:space="preserve">HRD-177-26S052587</t>
        </is>
      </c>
      <c r="B42" s="7" t="inlineStr">
        <is>
          <t xml:space="preserve">HRD-177-26S052587</t>
        </is>
      </c>
      <c r="C42" s="7" t="inlineStr">
        <is>
          <t xml:space="preserve">AHL3NVDRX7_1</t>
        </is>
      </c>
      <c r="D42" s="19" t="inlineStr">
        <is>
          <t xml:space="preserve">W0041_ATM_E21-22</t>
        </is>
      </c>
      <c r="E42" s="2">
        <v>3725</v>
      </c>
      <c r="F42" s="20" t="inlineStr">
        <is>
          <t xml:space="preserve">+</t>
        </is>
      </c>
      <c r="G42" s="4">
        <v>1.224</v>
      </c>
      <c r="H42" s="2">
        <v>2799</v>
      </c>
      <c r="I42" s="9" t="inlineStr">
        <is>
          <t xml:space="preserve">+</t>
        </is>
      </c>
      <c r="J42" s="4">
        <v>1.263</v>
      </c>
    </row>
    <row r="43">
      <c r="A43" s="6" t="inlineStr">
        <is>
          <t xml:space="preserve">HRD-177-26S052587</t>
        </is>
      </c>
      <c r="B43" s="7" t="inlineStr">
        <is>
          <t xml:space="preserve">HRD-177-26S052587</t>
        </is>
      </c>
      <c r="C43" s="7" t="inlineStr">
        <is>
          <t xml:space="preserve">AHL3NVDRX7_1</t>
        </is>
      </c>
      <c r="D43" s="19" t="inlineStr">
        <is>
          <t xml:space="preserve">W0042_ATM_E23</t>
        </is>
      </c>
      <c r="E43" s="2">
        <v>3082</v>
      </c>
      <c r="F43" s="20" t="inlineStr">
        <is>
          <t xml:space="preserve">+</t>
        </is>
      </c>
      <c r="G43" s="4">
        <v>1.013</v>
      </c>
      <c r="H43" s="2">
        <v>2367</v>
      </c>
      <c r="I43" s="9" t="inlineStr">
        <is>
          <t xml:space="preserve">+</t>
        </is>
      </c>
      <c r="J43" s="4">
        <v>1.068</v>
      </c>
    </row>
    <row r="44">
      <c r="A44" s="6" t="inlineStr">
        <is>
          <t xml:space="preserve">HRD-177-26S052587</t>
        </is>
      </c>
      <c r="B44" s="7" t="inlineStr">
        <is>
          <t xml:space="preserve">HRD-177-26S052587</t>
        </is>
      </c>
      <c r="C44" s="7" t="inlineStr">
        <is>
          <t xml:space="preserve">AHL3NVDRX7_1</t>
        </is>
      </c>
      <c r="D44" s="19" t="inlineStr">
        <is>
          <t xml:space="preserve">W0043_ATM_E23</t>
        </is>
      </c>
      <c r="E44" s="2">
        <v>6870</v>
      </c>
      <c r="F44" s="20" t="inlineStr">
        <is>
          <t xml:space="preserve">+</t>
        </is>
      </c>
      <c r="G44" s="4">
        <v>2.258</v>
      </c>
      <c r="H44" s="2">
        <v>4802</v>
      </c>
      <c r="I44" s="9" t="inlineStr">
        <is>
          <t xml:space="preserve">+</t>
        </is>
      </c>
      <c r="J44" s="4">
        <v>2.166</v>
      </c>
    </row>
    <row r="45">
      <c r="A45" s="6" t="inlineStr">
        <is>
          <t xml:space="preserve">HRD-177-26S052587</t>
        </is>
      </c>
      <c r="B45" s="7" t="inlineStr">
        <is>
          <t xml:space="preserve">HRD-177-26S052587</t>
        </is>
      </c>
      <c r="C45" s="7" t="inlineStr">
        <is>
          <t xml:space="preserve">AHL3NVDRX7_1</t>
        </is>
      </c>
      <c r="D45" s="19" t="inlineStr">
        <is>
          <t xml:space="preserve">W0044_ATM_E24</t>
        </is>
      </c>
      <c r="E45" s="2">
        <v>2135</v>
      </c>
      <c r="F45" s="20" t="inlineStr">
        <is>
          <t xml:space="preserve">+</t>
        </is>
      </c>
      <c r="G45" s="4">
        <v>0.702</v>
      </c>
      <c r="H45" s="2">
        <v>1687</v>
      </c>
      <c r="I45" s="9" t="inlineStr">
        <is>
          <t xml:space="preserve">+</t>
        </is>
      </c>
      <c r="J45" s="4">
        <v>0.761</v>
      </c>
    </row>
    <row r="46">
      <c r="A46" s="6" t="inlineStr">
        <is>
          <t xml:space="preserve">HRD-177-26S052587</t>
        </is>
      </c>
      <c r="B46" s="7" t="inlineStr">
        <is>
          <t xml:space="preserve">HRD-177-26S052587</t>
        </is>
      </c>
      <c r="C46" s="7" t="inlineStr">
        <is>
          <t xml:space="preserve">AHL3NVDRX7_1</t>
        </is>
      </c>
      <c r="D46" s="19" t="inlineStr">
        <is>
          <t xml:space="preserve">W0045_ATM_E24</t>
        </is>
      </c>
      <c r="E46" s="2">
        <v>5254</v>
      </c>
      <c r="F46" s="20" t="inlineStr">
        <is>
          <t xml:space="preserve">+</t>
        </is>
      </c>
      <c r="G46" s="4">
        <v>1.727</v>
      </c>
      <c r="H46" s="2">
        <v>3770</v>
      </c>
      <c r="I46" s="9" t="inlineStr">
        <is>
          <t xml:space="preserve">+</t>
        </is>
      </c>
      <c r="J46" s="4">
        <v>1.701</v>
      </c>
    </row>
    <row r="47">
      <c r="A47" s="6" t="inlineStr">
        <is>
          <t xml:space="preserve">HRD-177-26S052587</t>
        </is>
      </c>
      <c r="B47" s="7" t="inlineStr">
        <is>
          <t xml:space="preserve">HRD-177-26S052587</t>
        </is>
      </c>
      <c r="C47" s="7" t="inlineStr">
        <is>
          <t xml:space="preserve">AHL3NVDRX7_1</t>
        </is>
      </c>
      <c r="D47" s="19" t="inlineStr">
        <is>
          <t xml:space="preserve">W0046_ATM_E25</t>
        </is>
      </c>
      <c r="E47" s="2">
        <v>2166</v>
      </c>
      <c r="F47" s="20" t="inlineStr">
        <is>
          <t xml:space="preserve">+</t>
        </is>
      </c>
      <c r="G47" s="4">
        <v>0.712</v>
      </c>
      <c r="H47" s="2">
        <v>1682</v>
      </c>
      <c r="I47" s="9" t="inlineStr">
        <is>
          <t xml:space="preserve">+</t>
        </is>
      </c>
      <c r="J47" s="4">
        <v>0.759</v>
      </c>
    </row>
    <row r="48">
      <c r="A48" s="6" t="inlineStr">
        <is>
          <t xml:space="preserve">HRD-177-26S052587</t>
        </is>
      </c>
      <c r="B48" s="7" t="inlineStr">
        <is>
          <t xml:space="preserve">HRD-177-26S052587</t>
        </is>
      </c>
      <c r="C48" s="7" t="inlineStr">
        <is>
          <t xml:space="preserve">AHL3NVDRX7_1</t>
        </is>
      </c>
      <c r="D48" s="19" t="inlineStr">
        <is>
          <t xml:space="preserve">W0047_ATM_E25</t>
        </is>
      </c>
      <c r="E48" s="2">
        <v>1600</v>
      </c>
      <c r="F48" s="20" t="inlineStr">
        <is>
          <t xml:space="preserve">+</t>
        </is>
      </c>
      <c r="G48" s="4">
        <v>0.526</v>
      </c>
      <c r="H48" s="2">
        <v>1253</v>
      </c>
      <c r="I48" s="9" t="inlineStr">
        <is>
          <t xml:space="preserve">+</t>
        </is>
      </c>
      <c r="J48" s="4">
        <v>0.565</v>
      </c>
    </row>
    <row r="49">
      <c r="A49" s="6" t="inlineStr">
        <is>
          <t xml:space="preserve">HRD-177-26S052587</t>
        </is>
      </c>
      <c r="B49" s="7" t="inlineStr">
        <is>
          <t xml:space="preserve">HRD-177-26S052587</t>
        </is>
      </c>
      <c r="C49" s="7" t="inlineStr">
        <is>
          <t xml:space="preserve">AHL3NVDRX7_1</t>
        </is>
      </c>
      <c r="D49" s="19" t="inlineStr">
        <is>
          <t xml:space="preserve">W0048_ATM_E26</t>
        </is>
      </c>
      <c r="E49" s="2">
        <v>1089</v>
      </c>
      <c r="F49" s="20" t="inlineStr">
        <is>
          <t xml:space="preserve">+</t>
        </is>
      </c>
      <c r="G49" s="4">
        <v>0.358</v>
      </c>
      <c r="H49" s="2">
        <v>867</v>
      </c>
      <c r="I49" s="9" t="inlineStr">
        <is>
          <t xml:space="preserve">+</t>
        </is>
      </c>
      <c r="J49" s="4">
        <v>0.391</v>
      </c>
    </row>
    <row r="50">
      <c r="A50" s="6" t="inlineStr">
        <is>
          <t xml:space="preserve">HRD-177-26S052587</t>
        </is>
      </c>
      <c r="B50" s="7" t="inlineStr">
        <is>
          <t xml:space="preserve">HRD-177-26S052587</t>
        </is>
      </c>
      <c r="C50" s="7" t="inlineStr">
        <is>
          <t xml:space="preserve">AHL3NVDRX7_1</t>
        </is>
      </c>
      <c r="D50" s="19" t="inlineStr">
        <is>
          <t xml:space="preserve">W0049_ATM_E26</t>
        </is>
      </c>
      <c r="E50" s="2">
        <v>4738</v>
      </c>
      <c r="F50" s="20" t="inlineStr">
        <is>
          <t xml:space="preserve">+</t>
        </is>
      </c>
      <c r="G50" s="4">
        <v>1.557</v>
      </c>
      <c r="H50" s="2">
        <v>3491</v>
      </c>
      <c r="I50" s="9" t="inlineStr">
        <is>
          <t xml:space="preserve">+</t>
        </is>
      </c>
      <c r="J50" s="4">
        <v>1.575</v>
      </c>
    </row>
    <row r="51">
      <c r="A51" s="6" t="inlineStr">
        <is>
          <t xml:space="preserve">HRD-177-26S052587</t>
        </is>
      </c>
      <c r="B51" s="7" t="inlineStr">
        <is>
          <t xml:space="preserve">HRD-177-26S052587</t>
        </is>
      </c>
      <c r="C51" s="7" t="inlineStr">
        <is>
          <t xml:space="preserve">AHL3NVDRX7_1</t>
        </is>
      </c>
      <c r="D51" s="19" t="inlineStr">
        <is>
          <t xml:space="preserve">W0050_ATM_E26</t>
        </is>
      </c>
      <c r="E51" s="2">
        <v>3905</v>
      </c>
      <c r="F51" s="20" t="inlineStr">
        <is>
          <t xml:space="preserve">+</t>
        </is>
      </c>
      <c r="G51" s="4">
        <v>1.283</v>
      </c>
      <c r="H51" s="2">
        <v>2871</v>
      </c>
      <c r="I51" s="9" t="inlineStr">
        <is>
          <t xml:space="preserve">+</t>
        </is>
      </c>
      <c r="J51" s="4">
        <v>1.295</v>
      </c>
    </row>
    <row r="52">
      <c r="A52" s="6" t="inlineStr">
        <is>
          <t xml:space="preserve">HRD-177-26S052587</t>
        </is>
      </c>
      <c r="B52" s="7" t="inlineStr">
        <is>
          <t xml:space="preserve">HRD-177-26S052587</t>
        </is>
      </c>
      <c r="C52" s="7" t="inlineStr">
        <is>
          <t xml:space="preserve">AHL3NVDRX7_1</t>
        </is>
      </c>
      <c r="D52" s="19" t="inlineStr">
        <is>
          <t xml:space="preserve">W0051_ATM_E27</t>
        </is>
      </c>
      <c r="E52" s="2">
        <v>3594</v>
      </c>
      <c r="F52" s="20" t="inlineStr">
        <is>
          <t xml:space="preserve">+</t>
        </is>
      </c>
      <c r="G52" s="4">
        <v>1.181</v>
      </c>
      <c r="H52" s="2">
        <v>2704</v>
      </c>
      <c r="I52" s="9" t="inlineStr">
        <is>
          <t xml:space="preserve">+</t>
        </is>
      </c>
      <c r="J52" s="4">
        <v>1.22</v>
      </c>
    </row>
    <row r="53">
      <c r="A53" s="6" t="inlineStr">
        <is>
          <t xml:space="preserve">HRD-177-26S052587</t>
        </is>
      </c>
      <c r="B53" s="7" t="inlineStr">
        <is>
          <t xml:space="preserve">HRD-177-26S052587</t>
        </is>
      </c>
      <c r="C53" s="7" t="inlineStr">
        <is>
          <t xml:space="preserve">AHL3NVDRX7_1</t>
        </is>
      </c>
      <c r="D53" s="19" t="inlineStr">
        <is>
          <t xml:space="preserve">W0052_ATM_E27</t>
        </is>
      </c>
      <c r="E53" s="2">
        <v>5623</v>
      </c>
      <c r="F53" s="20" t="inlineStr">
        <is>
          <t xml:space="preserve">+</t>
        </is>
      </c>
      <c r="G53" s="4">
        <v>1.848</v>
      </c>
      <c r="H53" s="2">
        <v>4057</v>
      </c>
      <c r="I53" s="9" t="inlineStr">
        <is>
          <t xml:space="preserve">+</t>
        </is>
      </c>
      <c r="J53" s="4">
        <v>1.83</v>
      </c>
    </row>
    <row r="54">
      <c r="A54" s="6" t="inlineStr">
        <is>
          <t xml:space="preserve">HRD-177-26S052587</t>
        </is>
      </c>
      <c r="B54" s="7" t="inlineStr">
        <is>
          <t xml:space="preserve">HRD-177-26S052587</t>
        </is>
      </c>
      <c r="C54" s="7" t="inlineStr">
        <is>
          <t xml:space="preserve">AHL3NVDRX7_1</t>
        </is>
      </c>
      <c r="D54" s="19" t="inlineStr">
        <is>
          <t xml:space="preserve">W0053_ATM_E28</t>
        </is>
      </c>
      <c r="E54" s="2">
        <v>7005</v>
      </c>
      <c r="F54" s="20" t="inlineStr">
        <is>
          <t xml:space="preserve">+</t>
        </is>
      </c>
      <c r="G54" s="4">
        <v>2.302</v>
      </c>
      <c r="H54" s="2">
        <v>5007</v>
      </c>
      <c r="I54" s="9" t="inlineStr">
        <is>
          <t xml:space="preserve">+</t>
        </is>
      </c>
      <c r="J54" s="4">
        <v>2.259</v>
      </c>
    </row>
    <row r="55">
      <c r="A55" s="6" t="inlineStr">
        <is>
          <t xml:space="preserve">HRD-177-26S052587</t>
        </is>
      </c>
      <c r="B55" s="7" t="inlineStr">
        <is>
          <t xml:space="preserve">HRD-177-26S052587</t>
        </is>
      </c>
      <c r="C55" s="7" t="inlineStr">
        <is>
          <t xml:space="preserve">AHL3NVDRX7_1</t>
        </is>
      </c>
      <c r="D55" s="19" t="inlineStr">
        <is>
          <t xml:space="preserve">W0054_ATM_E28</t>
        </is>
      </c>
      <c r="E55" s="2">
        <v>1551</v>
      </c>
      <c r="F55" s="20" t="inlineStr">
        <is>
          <t xml:space="preserve">+</t>
        </is>
      </c>
      <c r="G55" s="4">
        <v>0.51</v>
      </c>
      <c r="H55" s="2">
        <v>1216</v>
      </c>
      <c r="I55" s="9" t="inlineStr">
        <is>
          <t xml:space="preserve">+</t>
        </is>
      </c>
      <c r="J55" s="4">
        <v>0.549</v>
      </c>
    </row>
    <row r="56">
      <c r="A56" s="6" t="inlineStr">
        <is>
          <t xml:space="preserve">HRD-177-26S052587</t>
        </is>
      </c>
      <c r="B56" s="7" t="inlineStr">
        <is>
          <t xml:space="preserve">HRD-177-26S052587</t>
        </is>
      </c>
      <c r="C56" s="7" t="inlineStr">
        <is>
          <t xml:space="preserve">AHL3NVDRX7_1</t>
        </is>
      </c>
      <c r="D56" s="19" t="inlineStr">
        <is>
          <t xml:space="preserve">W0055_ATM_E29</t>
        </is>
      </c>
      <c r="E56" s="2">
        <v>1966</v>
      </c>
      <c r="F56" s="20" t="inlineStr">
        <is>
          <t xml:space="preserve">+</t>
        </is>
      </c>
      <c r="G56" s="4">
        <v>0.646</v>
      </c>
      <c r="H56" s="2">
        <v>1529</v>
      </c>
      <c r="I56" s="9" t="inlineStr">
        <is>
          <t xml:space="preserve">+</t>
        </is>
      </c>
      <c r="J56" s="4">
        <v>0.69</v>
      </c>
    </row>
    <row r="57">
      <c r="A57" s="6" t="inlineStr">
        <is>
          <t xml:space="preserve">HRD-177-26S052587</t>
        </is>
      </c>
      <c r="B57" s="7" t="inlineStr">
        <is>
          <t xml:space="preserve">HRD-177-26S052587</t>
        </is>
      </c>
      <c r="C57" s="7" t="inlineStr">
        <is>
          <t xml:space="preserve">AHL3NVDRX7_1</t>
        </is>
      </c>
      <c r="D57" s="19" t="inlineStr">
        <is>
          <t xml:space="preserve">W0056_ATM_E29</t>
        </is>
      </c>
      <c r="E57" s="2">
        <v>3661</v>
      </c>
      <c r="F57" s="20" t="inlineStr">
        <is>
          <t xml:space="preserve">+</t>
        </is>
      </c>
      <c r="G57" s="4">
        <v>1.203</v>
      </c>
      <c r="H57" s="2">
        <v>2779</v>
      </c>
      <c r="I57" s="9" t="inlineStr">
        <is>
          <t xml:space="preserve">+</t>
        </is>
      </c>
      <c r="J57" s="4">
        <v>1.254</v>
      </c>
    </row>
    <row r="58">
      <c r="A58" s="6" t="inlineStr">
        <is>
          <t xml:space="preserve">HRD-177-26S052587</t>
        </is>
      </c>
      <c r="B58" s="7" t="inlineStr">
        <is>
          <t xml:space="preserve">HRD-177-26S052587</t>
        </is>
      </c>
      <c r="C58" s="7" t="inlineStr">
        <is>
          <t xml:space="preserve">AHL3NVDRX7_1</t>
        </is>
      </c>
      <c r="D58" s="19" t="inlineStr">
        <is>
          <t xml:space="preserve">W0057_ATM_E30</t>
        </is>
      </c>
      <c r="E58" s="2">
        <v>3760</v>
      </c>
      <c r="F58" s="20" t="inlineStr">
        <is>
          <t xml:space="preserve">+</t>
        </is>
      </c>
      <c r="G58" s="4">
        <v>1.236</v>
      </c>
      <c r="H58" s="2">
        <v>2734</v>
      </c>
      <c r="I58" s="9" t="inlineStr">
        <is>
          <t xml:space="preserve">+</t>
        </is>
      </c>
      <c r="J58" s="4">
        <v>1.233</v>
      </c>
    </row>
    <row r="59">
      <c r="A59" s="6" t="inlineStr">
        <is>
          <t xml:space="preserve">HRD-177-26S052587</t>
        </is>
      </c>
      <c r="B59" s="7" t="inlineStr">
        <is>
          <t xml:space="preserve">HRD-177-26S052587</t>
        </is>
      </c>
      <c r="C59" s="7" t="inlineStr">
        <is>
          <t xml:space="preserve">AHL3NVDRX7_1</t>
        </is>
      </c>
      <c r="D59" s="19" t="inlineStr">
        <is>
          <t xml:space="preserve">W0058_ATM_E30</t>
        </is>
      </c>
      <c r="E59" s="2">
        <v>2871</v>
      </c>
      <c r="F59" s="20" t="inlineStr">
        <is>
          <t xml:space="preserve">+</t>
        </is>
      </c>
      <c r="G59" s="4">
        <v>0.944</v>
      </c>
      <c r="H59" s="2">
        <v>2139</v>
      </c>
      <c r="I59" s="9" t="inlineStr">
        <is>
          <t xml:space="preserve">+</t>
        </is>
      </c>
      <c r="J59" s="4">
        <v>0.965</v>
      </c>
    </row>
    <row r="60">
      <c r="A60" s="6" t="inlineStr">
        <is>
          <t xml:space="preserve">HRD-177-26S052587</t>
        </is>
      </c>
      <c r="B60" s="7" t="inlineStr">
        <is>
          <t xml:space="preserve">HRD-177-26S052587</t>
        </is>
      </c>
      <c r="C60" s="7" t="inlineStr">
        <is>
          <t xml:space="preserve">AHL3NVDRX7_1</t>
        </is>
      </c>
      <c r="D60" s="19" t="inlineStr">
        <is>
          <t xml:space="preserve">W0059_ATM_E31</t>
        </is>
      </c>
      <c r="E60" s="2">
        <v>2448</v>
      </c>
      <c r="F60" s="20" t="inlineStr">
        <is>
          <t xml:space="preserve">+</t>
        </is>
      </c>
      <c r="G60" s="4">
        <v>0.805</v>
      </c>
      <c r="H60" s="2">
        <v>1950</v>
      </c>
      <c r="I60" s="9" t="inlineStr">
        <is>
          <t xml:space="preserve">+</t>
        </is>
      </c>
      <c r="J60" s="4">
        <v>0.88</v>
      </c>
    </row>
    <row r="61">
      <c r="A61" s="6" t="inlineStr">
        <is>
          <t xml:space="preserve">HRD-177-26S052587</t>
        </is>
      </c>
      <c r="B61" s="7" t="inlineStr">
        <is>
          <t xml:space="preserve">HRD-177-26S052587</t>
        </is>
      </c>
      <c r="C61" s="7" t="inlineStr">
        <is>
          <t xml:space="preserve">AHL3NVDRX7_1</t>
        </is>
      </c>
      <c r="D61" s="19" t="inlineStr">
        <is>
          <t xml:space="preserve">W0060_ATM_E31</t>
        </is>
      </c>
      <c r="E61" s="2">
        <v>2796</v>
      </c>
      <c r="F61" s="20" t="inlineStr">
        <is>
          <t xml:space="preserve">+</t>
        </is>
      </c>
      <c r="G61" s="4">
        <v>0.919</v>
      </c>
      <c r="H61" s="2">
        <v>2163</v>
      </c>
      <c r="I61" s="9" t="inlineStr">
        <is>
          <t xml:space="preserve">+</t>
        </is>
      </c>
      <c r="J61" s="4">
        <v>0.976</v>
      </c>
    </row>
    <row r="62">
      <c r="A62" s="6" t="inlineStr">
        <is>
          <t xml:space="preserve">HRD-177-26S052587</t>
        </is>
      </c>
      <c r="B62" s="7" t="inlineStr">
        <is>
          <t xml:space="preserve">HRD-177-26S052587</t>
        </is>
      </c>
      <c r="C62" s="7" t="inlineStr">
        <is>
          <t xml:space="preserve">AHL3NVDRX7_1</t>
        </is>
      </c>
      <c r="D62" s="19" t="inlineStr">
        <is>
          <t xml:space="preserve">W0061_ATM_E32</t>
        </is>
      </c>
      <c r="E62" s="2">
        <v>4196</v>
      </c>
      <c r="F62" s="20" t="inlineStr">
        <is>
          <t xml:space="preserve">+</t>
        </is>
      </c>
      <c r="G62" s="4">
        <v>1.379</v>
      </c>
      <c r="H62" s="2">
        <v>2982</v>
      </c>
      <c r="I62" s="9" t="inlineStr">
        <is>
          <t xml:space="preserve">+</t>
        </is>
      </c>
      <c r="J62" s="4">
        <v>1.345</v>
      </c>
    </row>
    <row r="63">
      <c r="A63" s="6" t="inlineStr">
        <is>
          <t xml:space="preserve">HRD-177-26S052587</t>
        </is>
      </c>
      <c r="B63" s="7" t="inlineStr">
        <is>
          <t xml:space="preserve">HRD-177-26S052587</t>
        </is>
      </c>
      <c r="C63" s="7" t="inlineStr">
        <is>
          <t xml:space="preserve">AHL3NVDRX7_1</t>
        </is>
      </c>
      <c r="D63" s="19" t="inlineStr">
        <is>
          <t xml:space="preserve">W0062_ATM_E32</t>
        </is>
      </c>
      <c r="E63" s="2">
        <v>4550</v>
      </c>
      <c r="F63" s="20" t="inlineStr">
        <is>
          <t xml:space="preserve">+</t>
        </is>
      </c>
      <c r="G63" s="4">
        <v>1.495</v>
      </c>
      <c r="H63" s="2">
        <v>3372</v>
      </c>
      <c r="I63" s="9" t="inlineStr">
        <is>
          <t xml:space="preserve">+</t>
        </is>
      </c>
      <c r="J63" s="4">
        <v>1.521</v>
      </c>
    </row>
    <row r="64">
      <c r="A64" s="6" t="inlineStr">
        <is>
          <t xml:space="preserve">HRD-177-26S052587</t>
        </is>
      </c>
      <c r="B64" s="7" t="inlineStr">
        <is>
          <t xml:space="preserve">HRD-177-26S052587</t>
        </is>
      </c>
      <c r="C64" s="7" t="inlineStr">
        <is>
          <t xml:space="preserve">AHL3NVDRX7_1</t>
        </is>
      </c>
      <c r="D64" s="19" t="inlineStr">
        <is>
          <t xml:space="preserve">W0063_ATM_E33</t>
        </is>
      </c>
      <c r="E64" s="2">
        <v>4553</v>
      </c>
      <c r="F64" s="20" t="inlineStr">
        <is>
          <t xml:space="preserve">+</t>
        </is>
      </c>
      <c r="G64" s="4">
        <v>1.496</v>
      </c>
      <c r="H64" s="2">
        <v>3355</v>
      </c>
      <c r="I64" s="9" t="inlineStr">
        <is>
          <t xml:space="preserve">+</t>
        </is>
      </c>
      <c r="J64" s="4">
        <v>1.514</v>
      </c>
    </row>
    <row r="65">
      <c r="A65" s="6" t="inlineStr">
        <is>
          <t xml:space="preserve">HRD-177-26S052587</t>
        </is>
      </c>
      <c r="B65" s="7" t="inlineStr">
        <is>
          <t xml:space="preserve">HRD-177-26S052587</t>
        </is>
      </c>
      <c r="C65" s="7" t="inlineStr">
        <is>
          <t xml:space="preserve">AHL3NVDRX7_1</t>
        </is>
      </c>
      <c r="D65" s="19" t="inlineStr">
        <is>
          <t xml:space="preserve">W0064_ATM_E33</t>
        </is>
      </c>
      <c r="E65" s="2">
        <v>7112</v>
      </c>
      <c r="F65" s="20" t="inlineStr">
        <is>
          <t xml:space="preserve">+</t>
        </is>
      </c>
      <c r="G65" s="4">
        <v>2.337</v>
      </c>
      <c r="H65" s="2">
        <v>4692</v>
      </c>
      <c r="I65" s="9" t="inlineStr">
        <is>
          <t xml:space="preserve">+</t>
        </is>
      </c>
      <c r="J65" s="4">
        <v>2.117</v>
      </c>
    </row>
    <row r="66">
      <c r="A66" s="6" t="inlineStr">
        <is>
          <t xml:space="preserve">HRD-177-26S052587</t>
        </is>
      </c>
      <c r="B66" s="7" t="inlineStr">
        <is>
          <t xml:space="preserve">HRD-177-26S052587</t>
        </is>
      </c>
      <c r="C66" s="7" t="inlineStr">
        <is>
          <t xml:space="preserve">AHL3NVDRX7_1</t>
        </is>
      </c>
      <c r="D66" s="19" t="inlineStr">
        <is>
          <t xml:space="preserve">W0065_ATM_E34</t>
        </is>
      </c>
      <c r="E66" s="2">
        <v>3201</v>
      </c>
      <c r="F66" s="20" t="inlineStr">
        <is>
          <t xml:space="preserve">+</t>
        </is>
      </c>
      <c r="G66" s="4">
        <v>1.052</v>
      </c>
      <c r="H66" s="2">
        <v>2489</v>
      </c>
      <c r="I66" s="9" t="inlineStr">
        <is>
          <t xml:space="preserve">+</t>
        </is>
      </c>
      <c r="J66" s="4">
        <v>1.123</v>
      </c>
    </row>
    <row r="67">
      <c r="A67" s="6" t="inlineStr">
        <is>
          <t xml:space="preserve">HRD-177-26S052587</t>
        </is>
      </c>
      <c r="B67" s="7" t="inlineStr">
        <is>
          <t xml:space="preserve">HRD-177-26S052587</t>
        </is>
      </c>
      <c r="C67" s="7" t="inlineStr">
        <is>
          <t xml:space="preserve">AHL3NVDRX7_1</t>
        </is>
      </c>
      <c r="D67" s="19" t="inlineStr">
        <is>
          <t xml:space="preserve">W0066_ATM_E34</t>
        </is>
      </c>
      <c r="E67" s="2">
        <v>2080</v>
      </c>
      <c r="F67" s="20" t="inlineStr">
        <is>
          <t xml:space="preserve">+</t>
        </is>
      </c>
      <c r="G67" s="4">
        <v>0.684</v>
      </c>
      <c r="H67" s="2">
        <v>1609</v>
      </c>
      <c r="I67" s="9" t="inlineStr">
        <is>
          <t xml:space="preserve">+</t>
        </is>
      </c>
      <c r="J67" s="4">
        <v>0.726</v>
      </c>
    </row>
    <row r="68">
      <c r="A68" s="6" t="inlineStr">
        <is>
          <t xml:space="preserve">HRD-177-26S052587</t>
        </is>
      </c>
      <c r="B68" s="7" t="inlineStr">
        <is>
          <t xml:space="preserve">HRD-177-26S052587</t>
        </is>
      </c>
      <c r="C68" s="7" t="inlineStr">
        <is>
          <t xml:space="preserve">AHL3NVDRX7_1</t>
        </is>
      </c>
      <c r="D68" s="19" t="inlineStr">
        <is>
          <t xml:space="preserve">W0067_ATM_E35</t>
        </is>
      </c>
      <c r="E68" s="2">
        <v>4418</v>
      </c>
      <c r="F68" s="20" t="inlineStr">
        <is>
          <t xml:space="preserve">+</t>
        </is>
      </c>
      <c r="G68" s="4">
        <v>1.452</v>
      </c>
      <c r="H68" s="2">
        <v>3277</v>
      </c>
      <c r="I68" s="9" t="inlineStr">
        <is>
          <t xml:space="preserve">+</t>
        </is>
      </c>
      <c r="J68" s="4">
        <v>1.478</v>
      </c>
    </row>
    <row r="69">
      <c r="A69" s="6" t="inlineStr">
        <is>
          <t xml:space="preserve">HRD-177-26S052587</t>
        </is>
      </c>
      <c r="B69" s="7" t="inlineStr">
        <is>
          <t xml:space="preserve">HRD-177-26S052587</t>
        </is>
      </c>
      <c r="C69" s="7" t="inlineStr">
        <is>
          <t xml:space="preserve">AHL3NVDRX7_1</t>
        </is>
      </c>
      <c r="D69" s="19" t="inlineStr">
        <is>
          <t xml:space="preserve">W0068_ATM_E35</t>
        </is>
      </c>
      <c r="E69" s="2">
        <v>5287</v>
      </c>
      <c r="F69" s="20" t="inlineStr">
        <is>
          <t xml:space="preserve">+</t>
        </is>
      </c>
      <c r="G69" s="4">
        <v>1.738</v>
      </c>
      <c r="H69" s="2">
        <v>3931</v>
      </c>
      <c r="I69" s="9" t="inlineStr">
        <is>
          <t xml:space="preserve">+</t>
        </is>
      </c>
      <c r="J69" s="4">
        <v>1.773</v>
      </c>
    </row>
    <row r="70">
      <c r="A70" s="6" t="inlineStr">
        <is>
          <t xml:space="preserve">HRD-177-26S052587</t>
        </is>
      </c>
      <c r="B70" s="7" t="inlineStr">
        <is>
          <t xml:space="preserve">HRD-177-26S052587</t>
        </is>
      </c>
      <c r="C70" s="7" t="inlineStr">
        <is>
          <t xml:space="preserve">AHL3NVDRX7_1</t>
        </is>
      </c>
      <c r="D70" s="19" t="inlineStr">
        <is>
          <t xml:space="preserve">W0069_ATM_E36</t>
        </is>
      </c>
      <c r="E70" s="2">
        <v>3626</v>
      </c>
      <c r="F70" s="20" t="inlineStr">
        <is>
          <t xml:space="preserve">+</t>
        </is>
      </c>
      <c r="G70" s="4">
        <v>1.192</v>
      </c>
      <c r="H70" s="2">
        <v>2756</v>
      </c>
      <c r="I70" s="9" t="inlineStr">
        <is>
          <t xml:space="preserve">+</t>
        </is>
      </c>
      <c r="J70" s="4">
        <v>1.243</v>
      </c>
    </row>
    <row r="71">
      <c r="A71" s="6" t="inlineStr">
        <is>
          <t xml:space="preserve">HRD-177-26S052587</t>
        </is>
      </c>
      <c r="B71" s="7" t="inlineStr">
        <is>
          <t xml:space="preserve">HRD-177-26S052587</t>
        </is>
      </c>
      <c r="C71" s="7" t="inlineStr">
        <is>
          <t xml:space="preserve">AHL3NVDRX7_1</t>
        </is>
      </c>
      <c r="D71" s="19" t="inlineStr">
        <is>
          <t xml:space="preserve">W0070_ATM_E36</t>
        </is>
      </c>
      <c r="E71" s="2">
        <v>4140</v>
      </c>
      <c r="F71" s="20" t="inlineStr">
        <is>
          <t xml:space="preserve">+</t>
        </is>
      </c>
      <c r="G71" s="4">
        <v>1.361</v>
      </c>
      <c r="H71" s="2">
        <v>3071</v>
      </c>
      <c r="I71" s="9" t="inlineStr">
        <is>
          <t xml:space="preserve">+</t>
        </is>
      </c>
      <c r="J71" s="4">
        <v>1.385</v>
      </c>
    </row>
    <row r="72">
      <c r="A72" s="6" t="inlineStr">
        <is>
          <t xml:space="preserve">HRD-177-26S052587</t>
        </is>
      </c>
      <c r="B72" s="7" t="inlineStr">
        <is>
          <t xml:space="preserve">HRD-177-26S052587</t>
        </is>
      </c>
      <c r="C72" s="7" t="inlineStr">
        <is>
          <t xml:space="preserve">AHL3NVDRX7_1</t>
        </is>
      </c>
      <c r="D72" s="19" t="inlineStr">
        <is>
          <t xml:space="preserve">W0071_ATM_E37</t>
        </is>
      </c>
      <c r="E72" s="2">
        <v>3454</v>
      </c>
      <c r="F72" s="20" t="inlineStr">
        <is>
          <t xml:space="preserve">+</t>
        </is>
      </c>
      <c r="G72" s="4">
        <v>1.135</v>
      </c>
      <c r="H72" s="2">
        <v>2629</v>
      </c>
      <c r="I72" s="9" t="inlineStr">
        <is>
          <t xml:space="preserve">+</t>
        </is>
      </c>
      <c r="J72" s="4">
        <v>1.186</v>
      </c>
    </row>
    <row r="73">
      <c r="A73" s="6" t="inlineStr">
        <is>
          <t xml:space="preserve">HRD-177-26S052587</t>
        </is>
      </c>
      <c r="B73" s="7" t="inlineStr">
        <is>
          <t xml:space="preserve">HRD-177-26S052587</t>
        </is>
      </c>
      <c r="C73" s="7" t="inlineStr">
        <is>
          <t xml:space="preserve">AHL3NVDRX7_1</t>
        </is>
      </c>
      <c r="D73" s="19" t="inlineStr">
        <is>
          <t xml:space="preserve">W0072_ATM_E37</t>
        </is>
      </c>
      <c r="E73" s="2">
        <v>4208</v>
      </c>
      <c r="F73" s="20" t="inlineStr">
        <is>
          <t xml:space="preserve">+</t>
        </is>
      </c>
      <c r="G73" s="4">
        <v>1.383</v>
      </c>
      <c r="H73" s="2">
        <v>3144</v>
      </c>
      <c r="I73" s="9" t="inlineStr">
        <is>
          <t xml:space="preserve">+</t>
        </is>
      </c>
      <c r="J73" s="4">
        <v>1.418</v>
      </c>
    </row>
    <row r="74">
      <c r="A74" s="6" t="inlineStr">
        <is>
          <t xml:space="preserve">HRD-177-26S052587</t>
        </is>
      </c>
      <c r="B74" s="7" t="inlineStr">
        <is>
          <t xml:space="preserve">HRD-177-26S052587</t>
        </is>
      </c>
      <c r="C74" s="7" t="inlineStr">
        <is>
          <t xml:space="preserve">AHL3NVDRX7_1</t>
        </is>
      </c>
      <c r="D74" s="19" t="inlineStr">
        <is>
          <t xml:space="preserve">W0073_ATM_E38</t>
        </is>
      </c>
      <c r="E74" s="2">
        <v>7225</v>
      </c>
      <c r="F74" s="20" t="inlineStr">
        <is>
          <t xml:space="preserve">+</t>
        </is>
      </c>
      <c r="G74" s="4">
        <v>2.374</v>
      </c>
      <c r="H74" s="2">
        <v>5069</v>
      </c>
      <c r="I74" s="9" t="inlineStr">
        <is>
          <t xml:space="preserve">+</t>
        </is>
      </c>
      <c r="J74" s="4">
        <v>2.287</v>
      </c>
    </row>
    <row r="75">
      <c r="A75" s="6" t="inlineStr">
        <is>
          <t xml:space="preserve">HRD-177-26S052587</t>
        </is>
      </c>
      <c r="B75" s="7" t="inlineStr">
        <is>
          <t xml:space="preserve">HRD-177-26S052587</t>
        </is>
      </c>
      <c r="C75" s="7" t="inlineStr">
        <is>
          <t xml:space="preserve">AHL3NVDRX7_1</t>
        </is>
      </c>
      <c r="D75" s="19" t="inlineStr">
        <is>
          <t xml:space="preserve">W0074_ATM_E38</t>
        </is>
      </c>
      <c r="E75" s="2">
        <v>7070</v>
      </c>
      <c r="F75" s="20" t="inlineStr">
        <is>
          <t xml:space="preserve">+</t>
        </is>
      </c>
      <c r="G75" s="4">
        <v>2.324</v>
      </c>
      <c r="H75" s="2">
        <v>4841</v>
      </c>
      <c r="I75" s="9" t="inlineStr">
        <is>
          <t xml:space="preserve">+</t>
        </is>
      </c>
      <c r="J75" s="4">
        <v>2.184</v>
      </c>
    </row>
    <row r="76">
      <c r="A76" s="6" t="inlineStr">
        <is>
          <t xml:space="preserve">HRD-177-26S052587</t>
        </is>
      </c>
      <c r="B76" s="7" t="inlineStr">
        <is>
          <t xml:space="preserve">HRD-177-26S052587</t>
        </is>
      </c>
      <c r="C76" s="7" t="inlineStr">
        <is>
          <t xml:space="preserve">AHL3NVDRX7_1</t>
        </is>
      </c>
      <c r="D76" s="19" t="inlineStr">
        <is>
          <t xml:space="preserve">W0075_ATM_E39</t>
        </is>
      </c>
      <c r="E76" s="2">
        <v>2539</v>
      </c>
      <c r="F76" s="20" t="inlineStr">
        <is>
          <t xml:space="preserve">+</t>
        </is>
      </c>
      <c r="G76" s="4">
        <v>0.834</v>
      </c>
      <c r="H76" s="2">
        <v>1958</v>
      </c>
      <c r="I76" s="9" t="inlineStr">
        <is>
          <t xml:space="preserve">+</t>
        </is>
      </c>
      <c r="J76" s="4">
        <v>0.883</v>
      </c>
    </row>
    <row r="77">
      <c r="A77" s="6" t="inlineStr">
        <is>
          <t xml:space="preserve">HRD-177-26S052587</t>
        </is>
      </c>
      <c r="B77" s="7" t="inlineStr">
        <is>
          <t xml:space="preserve">HRD-177-26S052587</t>
        </is>
      </c>
      <c r="C77" s="7" t="inlineStr">
        <is>
          <t xml:space="preserve">AHL3NVDRX7_1</t>
        </is>
      </c>
      <c r="D77" s="19" t="inlineStr">
        <is>
          <t xml:space="preserve">W0076_ATM_E39</t>
        </is>
      </c>
      <c r="E77" s="2">
        <v>3710</v>
      </c>
      <c r="F77" s="20" t="inlineStr">
        <is>
          <t xml:space="preserve">+</t>
        </is>
      </c>
      <c r="G77" s="4">
        <v>1.219</v>
      </c>
      <c r="H77" s="2">
        <v>2789</v>
      </c>
      <c r="I77" s="9" t="inlineStr">
        <is>
          <t xml:space="preserve">+</t>
        </is>
      </c>
      <c r="J77" s="4">
        <v>1.258</v>
      </c>
    </row>
    <row r="78">
      <c r="A78" s="6" t="inlineStr">
        <is>
          <t xml:space="preserve">HRD-177-26S052587</t>
        </is>
      </c>
      <c r="B78" s="7" t="inlineStr">
        <is>
          <t xml:space="preserve">HRD-177-26S052587</t>
        </is>
      </c>
      <c r="C78" s="7" t="inlineStr">
        <is>
          <t xml:space="preserve">AHL3NVDRX7_1</t>
        </is>
      </c>
      <c r="D78" s="19" t="inlineStr">
        <is>
          <t xml:space="preserve">W0077_ATM_E40</t>
        </is>
      </c>
      <c r="E78" s="2">
        <v>6041</v>
      </c>
      <c r="F78" s="20" t="inlineStr">
        <is>
          <t xml:space="preserve">+</t>
        </is>
      </c>
      <c r="G78" s="4">
        <v>1.985</v>
      </c>
      <c r="H78" s="2">
        <v>4320</v>
      </c>
      <c r="I78" s="9" t="inlineStr">
        <is>
          <t xml:space="preserve">+</t>
        </is>
      </c>
      <c r="J78" s="4">
        <v>1.949</v>
      </c>
    </row>
    <row r="79">
      <c r="A79" s="6" t="inlineStr">
        <is>
          <t xml:space="preserve">HRD-177-26S052587</t>
        </is>
      </c>
      <c r="B79" s="7" t="inlineStr">
        <is>
          <t xml:space="preserve">HRD-177-26S052587</t>
        </is>
      </c>
      <c r="C79" s="7" t="inlineStr">
        <is>
          <t xml:space="preserve">AHL3NVDRX7_1</t>
        </is>
      </c>
      <c r="D79" s="19" t="inlineStr">
        <is>
          <t xml:space="preserve">W0078_ATM_E40</t>
        </is>
      </c>
      <c r="E79" s="2">
        <v>2775</v>
      </c>
      <c r="F79" s="20" t="inlineStr">
        <is>
          <t xml:space="preserve">+</t>
        </is>
      </c>
      <c r="G79" s="4">
        <v>0.912</v>
      </c>
      <c r="H79" s="2">
        <v>2180</v>
      </c>
      <c r="I79" s="9" t="inlineStr">
        <is>
          <t xml:space="preserve">+</t>
        </is>
      </c>
      <c r="J79" s="4">
        <v>0.983</v>
      </c>
    </row>
    <row r="80">
      <c r="A80" s="6" t="inlineStr">
        <is>
          <t xml:space="preserve">HRD-177-26S052587</t>
        </is>
      </c>
      <c r="B80" s="7" t="inlineStr">
        <is>
          <t xml:space="preserve">HRD-177-26S052587</t>
        </is>
      </c>
      <c r="C80" s="7" t="inlineStr">
        <is>
          <t xml:space="preserve">AHL3NVDRX7_1</t>
        </is>
      </c>
      <c r="D80" s="19" t="inlineStr">
        <is>
          <t xml:space="preserve">W0079_ATM_E41-42</t>
        </is>
      </c>
      <c r="E80" s="2">
        <v>6548</v>
      </c>
      <c r="F80" s="20" t="inlineStr">
        <is>
          <t xml:space="preserve">+</t>
        </is>
      </c>
      <c r="G80" s="4">
        <v>2.152</v>
      </c>
      <c r="H80" s="2">
        <v>4715</v>
      </c>
      <c r="I80" s="9" t="inlineStr">
        <is>
          <t xml:space="preserve">+</t>
        </is>
      </c>
      <c r="J80" s="4">
        <v>2.127</v>
      </c>
    </row>
    <row r="81">
      <c r="A81" s="6" t="inlineStr">
        <is>
          <t xml:space="preserve">HRD-177-26S052587</t>
        </is>
      </c>
      <c r="B81" s="7" t="inlineStr">
        <is>
          <t xml:space="preserve">HRD-177-26S052587</t>
        </is>
      </c>
      <c r="C81" s="7" t="inlineStr">
        <is>
          <t xml:space="preserve">AHL3NVDRX7_1</t>
        </is>
      </c>
      <c r="D81" s="19" t="inlineStr">
        <is>
          <t xml:space="preserve">W0080_ATM_E41-42</t>
        </is>
      </c>
      <c r="E81" s="2">
        <v>2715</v>
      </c>
      <c r="F81" s="20" t="inlineStr">
        <is>
          <t xml:space="preserve">+</t>
        </is>
      </c>
      <c r="G81" s="4">
        <v>0.892</v>
      </c>
      <c r="H81" s="2">
        <v>2087</v>
      </c>
      <c r="I81" s="9" t="inlineStr">
        <is>
          <t xml:space="preserve">+</t>
        </is>
      </c>
      <c r="J81" s="4">
        <v>0.942</v>
      </c>
    </row>
    <row r="82">
      <c r="A82" s="6" t="inlineStr">
        <is>
          <t xml:space="preserve">HRD-177-26S052587</t>
        </is>
      </c>
      <c r="B82" s="7" t="inlineStr">
        <is>
          <t xml:space="preserve">HRD-177-26S052587</t>
        </is>
      </c>
      <c r="C82" s="7" t="inlineStr">
        <is>
          <t xml:space="preserve">AHL3NVDRX7_1</t>
        </is>
      </c>
      <c r="D82" s="19" t="inlineStr">
        <is>
          <t xml:space="preserve">W0081_ATM_E41-42</t>
        </is>
      </c>
      <c r="E82" s="2">
        <v>2989</v>
      </c>
      <c r="F82" s="20" t="inlineStr">
        <is>
          <t xml:space="preserve">+</t>
        </is>
      </c>
      <c r="G82" s="4">
        <v>0.982</v>
      </c>
      <c r="H82" s="2">
        <v>2280</v>
      </c>
      <c r="I82" s="9" t="inlineStr">
        <is>
          <t xml:space="preserve">+</t>
        </is>
      </c>
      <c r="J82" s="4">
        <v>1.029</v>
      </c>
    </row>
    <row r="83">
      <c r="A83" s="6" t="inlineStr">
        <is>
          <t xml:space="preserve">HRD-177-26S052587</t>
        </is>
      </c>
      <c r="B83" s="7" t="inlineStr">
        <is>
          <t xml:space="preserve">HRD-177-26S052587</t>
        </is>
      </c>
      <c r="C83" s="7" t="inlineStr">
        <is>
          <t xml:space="preserve">AHL3NVDRX7_1</t>
        </is>
      </c>
      <c r="D83" s="19" t="inlineStr">
        <is>
          <t xml:space="preserve">W0082_ATM_E43</t>
        </is>
      </c>
      <c r="E83" s="2">
        <v>2780</v>
      </c>
      <c r="F83" s="20" t="inlineStr">
        <is>
          <t xml:space="preserve">+</t>
        </is>
      </c>
      <c r="G83" s="4">
        <v>0.914</v>
      </c>
      <c r="H83" s="2">
        <v>2154</v>
      </c>
      <c r="I83" s="9" t="inlineStr">
        <is>
          <t xml:space="preserve">+</t>
        </is>
      </c>
      <c r="J83" s="4">
        <v>0.972</v>
      </c>
    </row>
    <row r="84">
      <c r="A84" s="6" t="inlineStr">
        <is>
          <t xml:space="preserve">HRD-177-26S052587</t>
        </is>
      </c>
      <c r="B84" s="7" t="inlineStr">
        <is>
          <t xml:space="preserve">HRD-177-26S052587</t>
        </is>
      </c>
      <c r="C84" s="7" t="inlineStr">
        <is>
          <t xml:space="preserve">AHL3NVDRX7_1</t>
        </is>
      </c>
      <c r="D84" s="19" t="inlineStr">
        <is>
          <t xml:space="preserve">W0083_ATM_E43</t>
        </is>
      </c>
      <c r="E84" s="2">
        <v>4490</v>
      </c>
      <c r="F84" s="20" t="inlineStr">
        <is>
          <t xml:space="preserve">+</t>
        </is>
      </c>
      <c r="G84" s="4">
        <v>1.476</v>
      </c>
      <c r="H84" s="2">
        <v>3326</v>
      </c>
      <c r="I84" s="9" t="inlineStr">
        <is>
          <t xml:space="preserve">+</t>
        </is>
      </c>
      <c r="J84" s="4">
        <v>1.5</v>
      </c>
    </row>
    <row r="85">
      <c r="A85" s="6" t="inlineStr">
        <is>
          <t xml:space="preserve">HRD-177-26S052587</t>
        </is>
      </c>
      <c r="B85" s="7" t="inlineStr">
        <is>
          <t xml:space="preserve">HRD-177-26S052587</t>
        </is>
      </c>
      <c r="C85" s="7" t="inlineStr">
        <is>
          <t xml:space="preserve">AHL3NVDRX7_1</t>
        </is>
      </c>
      <c r="D85" s="19" t="inlineStr">
        <is>
          <t xml:space="preserve">W0084_ATM_E44</t>
        </is>
      </c>
      <c r="E85" s="2">
        <v>4952</v>
      </c>
      <c r="F85" s="20" t="inlineStr">
        <is>
          <t xml:space="preserve">+</t>
        </is>
      </c>
      <c r="G85" s="4">
        <v>1.627</v>
      </c>
      <c r="H85" s="2">
        <v>3645</v>
      </c>
      <c r="I85" s="9" t="inlineStr">
        <is>
          <t xml:space="preserve">+</t>
        </is>
      </c>
      <c r="J85" s="4">
        <v>1.644</v>
      </c>
    </row>
    <row r="86">
      <c r="A86" s="6" t="inlineStr">
        <is>
          <t xml:space="preserve">HRD-177-26S052587</t>
        </is>
      </c>
      <c r="B86" s="7" t="inlineStr">
        <is>
          <t xml:space="preserve">HRD-177-26S052587</t>
        </is>
      </c>
      <c r="C86" s="7" t="inlineStr">
        <is>
          <t xml:space="preserve">AHL3NVDRX7_1</t>
        </is>
      </c>
      <c r="D86" s="19" t="inlineStr">
        <is>
          <t xml:space="preserve">W0085_ATM_E44</t>
        </is>
      </c>
      <c r="E86" s="2">
        <v>4086</v>
      </c>
      <c r="F86" s="20" t="inlineStr">
        <is>
          <t xml:space="preserve">+</t>
        </is>
      </c>
      <c r="G86" s="4">
        <v>1.343</v>
      </c>
      <c r="H86" s="2">
        <v>3065</v>
      </c>
      <c r="I86" s="9" t="inlineStr">
        <is>
          <t xml:space="preserve">+</t>
        </is>
      </c>
      <c r="J86" s="4">
        <v>1.383</v>
      </c>
    </row>
    <row r="87">
      <c r="A87" s="6" t="inlineStr">
        <is>
          <t xml:space="preserve">HRD-177-26S052587</t>
        </is>
      </c>
      <c r="B87" s="7" t="inlineStr">
        <is>
          <t xml:space="preserve">HRD-177-26S052587</t>
        </is>
      </c>
      <c r="C87" s="7" t="inlineStr">
        <is>
          <t xml:space="preserve">AHL3NVDRX7_1</t>
        </is>
      </c>
      <c r="D87" s="19" t="inlineStr">
        <is>
          <t xml:space="preserve">W0086_ATM_E45</t>
        </is>
      </c>
      <c r="E87" s="2">
        <v>4995</v>
      </c>
      <c r="F87" s="20" t="inlineStr">
        <is>
          <t xml:space="preserve">+</t>
        </is>
      </c>
      <c r="G87" s="4">
        <v>1.642</v>
      </c>
      <c r="H87" s="2">
        <v>3613</v>
      </c>
      <c r="I87" s="9" t="inlineStr">
        <is>
          <t xml:space="preserve">+</t>
        </is>
      </c>
      <c r="J87" s="4">
        <v>1.63</v>
      </c>
    </row>
    <row r="88">
      <c r="A88" s="6" t="inlineStr">
        <is>
          <t xml:space="preserve">HRD-177-26S052587</t>
        </is>
      </c>
      <c r="B88" s="7" t="inlineStr">
        <is>
          <t xml:space="preserve">HRD-177-26S052587</t>
        </is>
      </c>
      <c r="C88" s="7" t="inlineStr">
        <is>
          <t xml:space="preserve">AHL3NVDRX7_1</t>
        </is>
      </c>
      <c r="D88" s="19" t="inlineStr">
        <is>
          <t xml:space="preserve">W0087_ATM_E45</t>
        </is>
      </c>
      <c r="E88" s="2">
        <v>4581</v>
      </c>
      <c r="F88" s="20" t="inlineStr">
        <is>
          <t xml:space="preserve">+</t>
        </is>
      </c>
      <c r="G88" s="4">
        <v>1.506</v>
      </c>
      <c r="H88" s="2">
        <v>3295</v>
      </c>
      <c r="I88" s="9" t="inlineStr">
        <is>
          <t xml:space="preserve">+</t>
        </is>
      </c>
      <c r="J88" s="4">
        <v>1.486</v>
      </c>
    </row>
    <row r="89">
      <c r="A89" s="6" t="inlineStr">
        <is>
          <t xml:space="preserve">HRD-177-26S052587</t>
        </is>
      </c>
      <c r="B89" s="7" t="inlineStr">
        <is>
          <t xml:space="preserve">HRD-177-26S052587</t>
        </is>
      </c>
      <c r="C89" s="7" t="inlineStr">
        <is>
          <t xml:space="preserve">AHL3NVDRX7_1</t>
        </is>
      </c>
      <c r="D89" s="19" t="inlineStr">
        <is>
          <t xml:space="preserve">W0088_ATM_E46</t>
        </is>
      </c>
      <c r="E89" s="2">
        <v>1119</v>
      </c>
      <c r="F89" s="20" t="inlineStr">
        <is>
          <t xml:space="preserve">+</t>
        </is>
      </c>
      <c r="G89" s="4">
        <v>0.368</v>
      </c>
      <c r="H89" s="2">
        <v>1019</v>
      </c>
      <c r="I89" s="9" t="inlineStr">
        <is>
          <t xml:space="preserve">+</t>
        </is>
      </c>
      <c r="J89" s="4">
        <v>0.46</v>
      </c>
    </row>
    <row r="90">
      <c r="A90" s="6" t="inlineStr">
        <is>
          <t xml:space="preserve">HRD-177-26S052587</t>
        </is>
      </c>
      <c r="B90" s="7" t="inlineStr">
        <is>
          <t xml:space="preserve">HRD-177-26S052587</t>
        </is>
      </c>
      <c r="C90" s="7" t="inlineStr">
        <is>
          <t xml:space="preserve">AHL3NVDRX7_1</t>
        </is>
      </c>
      <c r="D90" s="19" t="inlineStr">
        <is>
          <t xml:space="preserve">W0089_ATM_E46</t>
        </is>
      </c>
      <c r="E90" s="2">
        <v>5734</v>
      </c>
      <c r="F90" s="20" t="inlineStr">
        <is>
          <t xml:space="preserve">+</t>
        </is>
      </c>
      <c r="G90" s="4">
        <v>1.884</v>
      </c>
      <c r="H90" s="2">
        <v>4136</v>
      </c>
      <c r="I90" s="9" t="inlineStr">
        <is>
          <t xml:space="preserve">+</t>
        </is>
      </c>
      <c r="J90" s="4">
        <v>1.866</v>
      </c>
    </row>
    <row r="91">
      <c r="A91" s="6" t="inlineStr">
        <is>
          <t xml:space="preserve">HRD-177-26S052587</t>
        </is>
      </c>
      <c r="B91" s="7" t="inlineStr">
        <is>
          <t xml:space="preserve">HRD-177-26S052587</t>
        </is>
      </c>
      <c r="C91" s="7" t="inlineStr">
        <is>
          <t xml:space="preserve">AHL3NVDRX7_1</t>
        </is>
      </c>
      <c r="D91" s="19" t="inlineStr">
        <is>
          <t xml:space="preserve">W0090_ATM_E46</t>
        </is>
      </c>
      <c r="E91" s="2">
        <v>3138</v>
      </c>
      <c r="F91" s="20" t="inlineStr">
        <is>
          <t xml:space="preserve">+</t>
        </is>
      </c>
      <c r="G91" s="4">
        <v>1.031</v>
      </c>
      <c r="H91" s="2">
        <v>2398</v>
      </c>
      <c r="I91" s="9" t="inlineStr">
        <is>
          <t xml:space="preserve">+</t>
        </is>
      </c>
      <c r="J91" s="4">
        <v>1.082</v>
      </c>
    </row>
    <row r="92">
      <c r="A92" s="6" t="inlineStr">
        <is>
          <t xml:space="preserve">HRD-177-26S052587</t>
        </is>
      </c>
      <c r="B92" s="7" t="inlineStr">
        <is>
          <t xml:space="preserve">HRD-177-26S052587</t>
        </is>
      </c>
      <c r="C92" s="7" t="inlineStr">
        <is>
          <t xml:space="preserve">AHL3NVDRX7_1</t>
        </is>
      </c>
      <c r="D92" s="19" t="inlineStr">
        <is>
          <t xml:space="preserve">W0091_ATM_E47</t>
        </is>
      </c>
      <c r="E92" s="2">
        <v>3590</v>
      </c>
      <c r="F92" s="20" t="inlineStr">
        <is>
          <t xml:space="preserve">+</t>
        </is>
      </c>
      <c r="G92" s="4">
        <v>1.18</v>
      </c>
      <c r="H92" s="2">
        <v>2710</v>
      </c>
      <c r="I92" s="9" t="inlineStr">
        <is>
          <t xml:space="preserve">+</t>
        </is>
      </c>
      <c r="J92" s="4">
        <v>1.223</v>
      </c>
    </row>
    <row r="93">
      <c r="A93" s="6" t="inlineStr">
        <is>
          <t xml:space="preserve">HRD-177-26S052587</t>
        </is>
      </c>
      <c r="B93" s="7" t="inlineStr">
        <is>
          <t xml:space="preserve">HRD-177-26S052587</t>
        </is>
      </c>
      <c r="C93" s="7" t="inlineStr">
        <is>
          <t xml:space="preserve">AHL3NVDRX7_1</t>
        </is>
      </c>
      <c r="D93" s="19" t="inlineStr">
        <is>
          <t xml:space="preserve">W0092_ATM_E47</t>
        </is>
      </c>
      <c r="E93" s="2">
        <v>2751</v>
      </c>
      <c r="F93" s="20" t="inlineStr">
        <is>
          <t xml:space="preserve">+</t>
        </is>
      </c>
      <c r="G93" s="4">
        <v>0.904</v>
      </c>
      <c r="H93" s="2">
        <v>2092</v>
      </c>
      <c r="I93" s="9" t="inlineStr">
        <is>
          <t xml:space="preserve">+</t>
        </is>
      </c>
      <c r="J93" s="4">
        <v>0.944</v>
      </c>
    </row>
    <row r="94">
      <c r="A94" s="6" t="inlineStr">
        <is>
          <t xml:space="preserve">HRD-177-26S052587</t>
        </is>
      </c>
      <c r="B94" s="7" t="inlineStr">
        <is>
          <t xml:space="preserve">HRD-177-26S052587</t>
        </is>
      </c>
      <c r="C94" s="7" t="inlineStr">
        <is>
          <t xml:space="preserve">AHL3NVDRX7_1</t>
        </is>
      </c>
      <c r="D94" s="19" t="inlineStr">
        <is>
          <t xml:space="preserve">W0093_ATM_E48</t>
        </is>
      </c>
      <c r="E94" s="2">
        <v>5277</v>
      </c>
      <c r="F94" s="20" t="inlineStr">
        <is>
          <t xml:space="preserve">+</t>
        </is>
      </c>
      <c r="G94" s="4">
        <v>1.734</v>
      </c>
      <c r="H94" s="2">
        <v>3791</v>
      </c>
      <c r="I94" s="9" t="inlineStr">
        <is>
          <t xml:space="preserve">+</t>
        </is>
      </c>
      <c r="J94" s="4">
        <v>1.71</v>
      </c>
    </row>
    <row r="95">
      <c r="A95" s="6" t="inlineStr">
        <is>
          <t xml:space="preserve">HRD-177-26S052587</t>
        </is>
      </c>
      <c r="B95" s="7" t="inlineStr">
        <is>
          <t xml:space="preserve">HRD-177-26S052587</t>
        </is>
      </c>
      <c r="C95" s="7" t="inlineStr">
        <is>
          <t xml:space="preserve">AHL3NVDRX7_1</t>
        </is>
      </c>
      <c r="D95" s="19" t="inlineStr">
        <is>
          <t xml:space="preserve">W0094_ATM_E48</t>
        </is>
      </c>
      <c r="E95" s="2">
        <v>3514</v>
      </c>
      <c r="F95" s="20" t="inlineStr">
        <is>
          <t xml:space="preserve">+</t>
        </is>
      </c>
      <c r="G95" s="4">
        <v>1.155</v>
      </c>
      <c r="H95" s="2">
        <v>2621</v>
      </c>
      <c r="I95" s="9" t="inlineStr">
        <is>
          <t xml:space="preserve">+</t>
        </is>
      </c>
      <c r="J95" s="4">
        <v>1.182</v>
      </c>
    </row>
    <row r="96">
      <c r="A96" s="6" t="inlineStr">
        <is>
          <t xml:space="preserve">HRD-177-26S052587</t>
        </is>
      </c>
      <c r="B96" s="7" t="inlineStr">
        <is>
          <t xml:space="preserve">HRD-177-26S052587</t>
        </is>
      </c>
      <c r="C96" s="7" t="inlineStr">
        <is>
          <t xml:space="preserve">AHL3NVDRX7_1</t>
        </is>
      </c>
      <c r="D96" s="19" t="inlineStr">
        <is>
          <t xml:space="preserve">W0095_ATM_E49</t>
        </is>
      </c>
      <c r="E96" s="2">
        <v>1515</v>
      </c>
      <c r="F96" s="20" t="inlineStr">
        <is>
          <t xml:space="preserve">+</t>
        </is>
      </c>
      <c r="G96" s="4">
        <v>0.498</v>
      </c>
      <c r="H96" s="2">
        <v>1190</v>
      </c>
      <c r="I96" s="9" t="inlineStr">
        <is>
          <t xml:space="preserve">+</t>
        </is>
      </c>
      <c r="J96" s="4">
        <v>0.537</v>
      </c>
    </row>
    <row r="97">
      <c r="A97" s="6" t="inlineStr">
        <is>
          <t xml:space="preserve">HRD-177-26S052587</t>
        </is>
      </c>
      <c r="B97" s="7" t="inlineStr">
        <is>
          <t xml:space="preserve">HRD-177-26S052587</t>
        </is>
      </c>
      <c r="C97" s="7" t="inlineStr">
        <is>
          <t xml:space="preserve">AHL3NVDRX7_1</t>
        </is>
      </c>
      <c r="D97" s="19" t="inlineStr">
        <is>
          <t xml:space="preserve">W0096_ATM_E49</t>
        </is>
      </c>
      <c r="E97" s="2">
        <v>3217</v>
      </c>
      <c r="F97" s="20" t="inlineStr">
        <is>
          <t xml:space="preserve">+</t>
        </is>
      </c>
      <c r="G97" s="4">
        <v>1.057</v>
      </c>
      <c r="H97" s="2">
        <v>2441</v>
      </c>
      <c r="I97" s="9" t="inlineStr">
        <is>
          <t xml:space="preserve">+</t>
        </is>
      </c>
      <c r="J97" s="4">
        <v>1.101</v>
      </c>
    </row>
    <row r="98">
      <c r="A98" s="6" t="inlineStr">
        <is>
          <t xml:space="preserve">HRD-177-26S052587</t>
        </is>
      </c>
      <c r="B98" s="7" t="inlineStr">
        <is>
          <t xml:space="preserve">HRD-177-26S052587</t>
        </is>
      </c>
      <c r="C98" s="7" t="inlineStr">
        <is>
          <t xml:space="preserve">AHL3NVDRX7_1</t>
        </is>
      </c>
      <c r="D98" s="19" t="inlineStr">
        <is>
          <t xml:space="preserve">W0097_ATM_E49</t>
        </is>
      </c>
      <c r="E98" s="2">
        <v>3476</v>
      </c>
      <c r="F98" s="20" t="inlineStr">
        <is>
          <t xml:space="preserve">+</t>
        </is>
      </c>
      <c r="G98" s="4">
        <v>1.142</v>
      </c>
      <c r="H98" s="2">
        <v>2641</v>
      </c>
      <c r="I98" s="9" t="inlineStr">
        <is>
          <t xml:space="preserve">+</t>
        </is>
      </c>
      <c r="J98" s="4">
        <v>1.191</v>
      </c>
    </row>
    <row r="99">
      <c r="A99" s="6" t="inlineStr">
        <is>
          <t xml:space="preserve">HRD-177-26S052587</t>
        </is>
      </c>
      <c r="B99" s="7" t="inlineStr">
        <is>
          <t xml:space="preserve">HRD-177-26S052587</t>
        </is>
      </c>
      <c r="C99" s="7" t="inlineStr">
        <is>
          <t xml:space="preserve">AHL3NVDRX7_1</t>
        </is>
      </c>
      <c r="D99" s="19" t="inlineStr">
        <is>
          <t xml:space="preserve">W0098_ATM_E50</t>
        </is>
      </c>
      <c r="E99" s="2">
        <v>3545</v>
      </c>
      <c r="F99" s="20" t="inlineStr">
        <is>
          <t xml:space="preserve">+</t>
        </is>
      </c>
      <c r="G99" s="4">
        <v>1.165</v>
      </c>
      <c r="H99" s="2">
        <v>2608</v>
      </c>
      <c r="I99" s="9" t="inlineStr">
        <is>
          <t xml:space="preserve">+</t>
        </is>
      </c>
      <c r="J99" s="4">
        <v>1.177</v>
      </c>
    </row>
    <row r="100">
      <c r="A100" s="6" t="inlineStr">
        <is>
          <t xml:space="preserve">HRD-177-26S052587</t>
        </is>
      </c>
      <c r="B100" s="7" t="inlineStr">
        <is>
          <t xml:space="preserve">HRD-177-26S052587</t>
        </is>
      </c>
      <c r="C100" s="7" t="inlineStr">
        <is>
          <t xml:space="preserve">AHL3NVDRX7_1</t>
        </is>
      </c>
      <c r="D100" s="19" t="inlineStr">
        <is>
          <t xml:space="preserve">W0099_ATM_E50</t>
        </is>
      </c>
      <c r="E100" s="2">
        <v>3091</v>
      </c>
      <c r="F100" s="20" t="inlineStr">
        <is>
          <t xml:space="preserve">+</t>
        </is>
      </c>
      <c r="G100" s="4">
        <v>1.016</v>
      </c>
      <c r="H100" s="2">
        <v>2371</v>
      </c>
      <c r="I100" s="9" t="inlineStr">
        <is>
          <t xml:space="preserve">+</t>
        </is>
      </c>
      <c r="J100" s="4">
        <v>1.07</v>
      </c>
    </row>
    <row r="101">
      <c r="A101" s="6" t="inlineStr">
        <is>
          <t xml:space="preserve">HRD-177-26S052587</t>
        </is>
      </c>
      <c r="B101" s="7" t="inlineStr">
        <is>
          <t xml:space="preserve">HRD-177-26S052587</t>
        </is>
      </c>
      <c r="C101" s="7" t="inlineStr">
        <is>
          <t xml:space="preserve">AHL3NVDRX7_1</t>
        </is>
      </c>
      <c r="D101" s="19" t="inlineStr">
        <is>
          <t xml:space="preserve">W0100_ATM_E51</t>
        </is>
      </c>
      <c r="E101" s="2">
        <v>4902</v>
      </c>
      <c r="F101" s="20" t="inlineStr">
        <is>
          <t xml:space="preserve">+</t>
        </is>
      </c>
      <c r="G101" s="4">
        <v>1.611</v>
      </c>
      <c r="H101" s="2">
        <v>3656</v>
      </c>
      <c r="I101" s="9" t="inlineStr">
        <is>
          <t xml:space="preserve">+</t>
        </is>
      </c>
      <c r="J101" s="4">
        <v>1.649</v>
      </c>
    </row>
    <row r="102">
      <c r="A102" s="6" t="inlineStr">
        <is>
          <t xml:space="preserve">HRD-177-26S052587</t>
        </is>
      </c>
      <c r="B102" s="7" t="inlineStr">
        <is>
          <t xml:space="preserve">HRD-177-26S052587</t>
        </is>
      </c>
      <c r="C102" s="7" t="inlineStr">
        <is>
          <t xml:space="preserve">AHL3NVDRX7_1</t>
        </is>
      </c>
      <c r="D102" s="19" t="inlineStr">
        <is>
          <t xml:space="preserve">W0101_ATM_E51</t>
        </is>
      </c>
      <c r="E102" s="2">
        <v>332</v>
      </c>
      <c r="F102" s="20" t="inlineStr">
        <is>
          <t xml:space="preserve">-</t>
        </is>
      </c>
      <c r="G102" s="4">
        <v>0.109</v>
      </c>
      <c r="H102" s="2">
        <v>269</v>
      </c>
      <c r="I102" s="9" t="inlineStr">
        <is>
          <t xml:space="preserve">-</t>
        </is>
      </c>
      <c r="J102" s="4">
        <v>0.121</v>
      </c>
    </row>
    <row r="103">
      <c r="A103" s="6" t="inlineStr">
        <is>
          <t xml:space="preserve">HRD-177-26S052587</t>
        </is>
      </c>
      <c r="B103" s="7" t="inlineStr">
        <is>
          <t xml:space="preserve">HRD-177-26S052587</t>
        </is>
      </c>
      <c r="C103" s="7" t="inlineStr">
        <is>
          <t xml:space="preserve">AHL3NVDRX7_1</t>
        </is>
      </c>
      <c r="D103" s="19" t="inlineStr">
        <is>
          <t xml:space="preserve">W0102_ATM_E52</t>
        </is>
      </c>
      <c r="E103" s="2">
        <v>3239</v>
      </c>
      <c r="F103" s="20" t="inlineStr">
        <is>
          <t xml:space="preserve">+</t>
        </is>
      </c>
      <c r="G103" s="4">
        <v>1.064</v>
      </c>
      <c r="H103" s="2">
        <v>2457</v>
      </c>
      <c r="I103" s="9" t="inlineStr">
        <is>
          <t xml:space="preserve">+</t>
        </is>
      </c>
      <c r="J103" s="4">
        <v>1.108</v>
      </c>
    </row>
    <row r="104">
      <c r="A104" s="6" t="inlineStr">
        <is>
          <t xml:space="preserve">HRD-177-26S052587</t>
        </is>
      </c>
      <c r="B104" s="7" t="inlineStr">
        <is>
          <t xml:space="preserve">HRD-177-26S052587</t>
        </is>
      </c>
      <c r="C104" s="7" t="inlineStr">
        <is>
          <t xml:space="preserve">AHL3NVDRX7_1</t>
        </is>
      </c>
      <c r="D104" s="19" t="inlineStr">
        <is>
          <t xml:space="preserve">W0103_ATM_E52</t>
        </is>
      </c>
      <c r="E104" s="2">
        <v>3841</v>
      </c>
      <c r="F104" s="20" t="inlineStr">
        <is>
          <t xml:space="preserve">+</t>
        </is>
      </c>
      <c r="G104" s="4">
        <v>1.262</v>
      </c>
      <c r="H104" s="2">
        <v>2860</v>
      </c>
      <c r="I104" s="9" t="inlineStr">
        <is>
          <t xml:space="preserve">+</t>
        </is>
      </c>
      <c r="J104" s="4">
        <v>1.29</v>
      </c>
    </row>
    <row r="105">
      <c r="A105" s="6" t="inlineStr">
        <is>
          <t xml:space="preserve">HRD-177-26S052587</t>
        </is>
      </c>
      <c r="B105" s="7" t="inlineStr">
        <is>
          <t xml:space="preserve">HRD-177-26S052587</t>
        </is>
      </c>
      <c r="C105" s="7" t="inlineStr">
        <is>
          <t xml:space="preserve">AHL3NVDRX7_1</t>
        </is>
      </c>
      <c r="D105" s="19" t="inlineStr">
        <is>
          <t xml:space="preserve">W0104_ATM_E53</t>
        </is>
      </c>
      <c r="E105" s="2">
        <v>4780</v>
      </c>
      <c r="F105" s="20" t="inlineStr">
        <is>
          <t xml:space="preserve">+</t>
        </is>
      </c>
      <c r="G105" s="4">
        <v>1.571</v>
      </c>
      <c r="H105" s="2">
        <v>3503</v>
      </c>
      <c r="I105" s="9" t="inlineStr">
        <is>
          <t xml:space="preserve">+</t>
        </is>
      </c>
      <c r="J105" s="4">
        <v>1.58</v>
      </c>
    </row>
    <row r="106">
      <c r="A106" s="6" t="inlineStr">
        <is>
          <t xml:space="preserve">HRD-177-26S052587</t>
        </is>
      </c>
      <c r="B106" s="7" t="inlineStr">
        <is>
          <t xml:space="preserve">HRD-177-26S052587</t>
        </is>
      </c>
      <c r="C106" s="7" t="inlineStr">
        <is>
          <t xml:space="preserve">AHL3NVDRX7_1</t>
        </is>
      </c>
      <c r="D106" s="19" t="inlineStr">
        <is>
          <t xml:space="preserve">W0105_ATM_E53</t>
        </is>
      </c>
      <c r="E106" s="2">
        <v>4688</v>
      </c>
      <c r="F106" s="20" t="inlineStr">
        <is>
          <t xml:space="preserve">+</t>
        </is>
      </c>
      <c r="G106" s="4">
        <v>1.541</v>
      </c>
      <c r="H106" s="2">
        <v>3413</v>
      </c>
      <c r="I106" s="9" t="inlineStr">
        <is>
          <t xml:space="preserve">+</t>
        </is>
      </c>
      <c r="J106" s="4">
        <v>1.54</v>
      </c>
    </row>
    <row r="107">
      <c r="A107" s="6" t="inlineStr">
        <is>
          <t xml:space="preserve">HRD-177-26S052587</t>
        </is>
      </c>
      <c r="B107" s="7" t="inlineStr">
        <is>
          <t xml:space="preserve">HRD-177-26S052587</t>
        </is>
      </c>
      <c r="C107" s="7" t="inlineStr">
        <is>
          <t xml:space="preserve">AHL3NVDRX7_1</t>
        </is>
      </c>
      <c r="D107" s="19" t="inlineStr">
        <is>
          <t xml:space="preserve">W0106_ATM_E54</t>
        </is>
      </c>
      <c r="E107" s="2">
        <v>6641</v>
      </c>
      <c r="F107" s="20" t="inlineStr">
        <is>
          <t xml:space="preserve">+</t>
        </is>
      </c>
      <c r="G107" s="4">
        <v>2.183</v>
      </c>
      <c r="H107" s="2">
        <v>4717</v>
      </c>
      <c r="I107" s="9" t="inlineStr">
        <is>
          <t xml:space="preserve">+</t>
        </is>
      </c>
      <c r="J107" s="4">
        <v>2.128</v>
      </c>
    </row>
    <row r="108">
      <c r="A108" s="6" t="inlineStr">
        <is>
          <t xml:space="preserve">HRD-177-26S052587</t>
        </is>
      </c>
      <c r="B108" s="7" t="inlineStr">
        <is>
          <t xml:space="preserve">HRD-177-26S052587</t>
        </is>
      </c>
      <c r="C108" s="7" t="inlineStr">
        <is>
          <t xml:space="preserve">AHL3NVDRX7_1</t>
        </is>
      </c>
      <c r="D108" s="19" t="inlineStr">
        <is>
          <t xml:space="preserve">W0107_ATM_E54</t>
        </is>
      </c>
      <c r="E108" s="2">
        <v>3618</v>
      </c>
      <c r="F108" s="20" t="inlineStr">
        <is>
          <t xml:space="preserve">+</t>
        </is>
      </c>
      <c r="G108" s="4">
        <v>1.189</v>
      </c>
      <c r="H108" s="2">
        <v>2790</v>
      </c>
      <c r="I108" s="9" t="inlineStr">
        <is>
          <t xml:space="preserve">+</t>
        </is>
      </c>
      <c r="J108" s="4">
        <v>1.259</v>
      </c>
    </row>
    <row r="109">
      <c r="A109" s="6" t="inlineStr">
        <is>
          <t xml:space="preserve">HRD-177-26S052587</t>
        </is>
      </c>
      <c r="B109" s="7" t="inlineStr">
        <is>
          <t xml:space="preserve">HRD-177-26S052587</t>
        </is>
      </c>
      <c r="C109" s="7" t="inlineStr">
        <is>
          <t xml:space="preserve">AHL3NVDRX7_1</t>
        </is>
      </c>
      <c r="D109" s="19" t="inlineStr">
        <is>
          <t xml:space="preserve">W0108_ATM_E55</t>
        </is>
      </c>
      <c r="E109" s="2">
        <v>6911</v>
      </c>
      <c r="F109" s="20" t="inlineStr">
        <is>
          <t xml:space="preserve">+</t>
        </is>
      </c>
      <c r="G109" s="4">
        <v>2.271</v>
      </c>
      <c r="H109" s="2">
        <v>4850</v>
      </c>
      <c r="I109" s="9" t="inlineStr">
        <is>
          <t xml:space="preserve">+</t>
        </is>
      </c>
      <c r="J109" s="4">
        <v>2.188</v>
      </c>
    </row>
    <row r="110">
      <c r="A110" s="6" t="inlineStr">
        <is>
          <t xml:space="preserve">HRD-177-26S052587</t>
        </is>
      </c>
      <c r="B110" s="7" t="inlineStr">
        <is>
          <t xml:space="preserve">HRD-177-26S052587</t>
        </is>
      </c>
      <c r="C110" s="7" t="inlineStr">
        <is>
          <t xml:space="preserve">AHL3NVDRX7_1</t>
        </is>
      </c>
      <c r="D110" s="19" t="inlineStr">
        <is>
          <t xml:space="preserve">W0109_ATM_E55</t>
        </is>
      </c>
      <c r="E110" s="2">
        <v>3312</v>
      </c>
      <c r="F110" s="20" t="inlineStr">
        <is>
          <t xml:space="preserve">+</t>
        </is>
      </c>
      <c r="G110" s="4">
        <v>1.088</v>
      </c>
      <c r="H110" s="2">
        <v>2478</v>
      </c>
      <c r="I110" s="9" t="inlineStr">
        <is>
          <t xml:space="preserve">+</t>
        </is>
      </c>
      <c r="J110" s="4">
        <v>1.118</v>
      </c>
    </row>
    <row r="111">
      <c r="A111" s="6" t="inlineStr">
        <is>
          <t xml:space="preserve">HRD-177-26S052587</t>
        </is>
      </c>
      <c r="B111" s="7" t="inlineStr">
        <is>
          <t xml:space="preserve">HRD-177-26S052587</t>
        </is>
      </c>
      <c r="C111" s="7" t="inlineStr">
        <is>
          <t xml:space="preserve">AHL3NVDRX7_1</t>
        </is>
      </c>
      <c r="D111" s="19" t="inlineStr">
        <is>
          <t xml:space="preserve">W0110_ATM_E56</t>
        </is>
      </c>
      <c r="E111" s="2">
        <v>4111</v>
      </c>
      <c r="F111" s="20" t="inlineStr">
        <is>
          <t xml:space="preserve">+</t>
        </is>
      </c>
      <c r="G111" s="4">
        <v>1.351</v>
      </c>
      <c r="H111" s="2">
        <v>3033</v>
      </c>
      <c r="I111" s="9" t="inlineStr">
        <is>
          <t xml:space="preserve">+</t>
        </is>
      </c>
      <c r="J111" s="4">
        <v>1.368</v>
      </c>
    </row>
    <row r="112">
      <c r="A112" s="6" t="inlineStr">
        <is>
          <t xml:space="preserve">HRD-177-26S052587</t>
        </is>
      </c>
      <c r="B112" s="7" t="inlineStr">
        <is>
          <t xml:space="preserve">HRD-177-26S052587</t>
        </is>
      </c>
      <c r="C112" s="7" t="inlineStr">
        <is>
          <t xml:space="preserve">AHL3NVDRX7_1</t>
        </is>
      </c>
      <c r="D112" s="19" t="inlineStr">
        <is>
          <t xml:space="preserve">W0111_ATM_E56</t>
        </is>
      </c>
      <c r="E112" s="2">
        <v>4681</v>
      </c>
      <c r="F112" s="20" t="inlineStr">
        <is>
          <t xml:space="preserve">+</t>
        </is>
      </c>
      <c r="G112" s="4">
        <v>1.538</v>
      </c>
      <c r="H112" s="2">
        <v>3352</v>
      </c>
      <c r="I112" s="9" t="inlineStr">
        <is>
          <t xml:space="preserve">+</t>
        </is>
      </c>
      <c r="J112" s="4">
        <v>1.512</v>
      </c>
    </row>
    <row r="113">
      <c r="A113" s="6" t="inlineStr">
        <is>
          <t xml:space="preserve">HRD-177-26S052587</t>
        </is>
      </c>
      <c r="B113" s="7" t="inlineStr">
        <is>
          <t xml:space="preserve">HRD-177-26S052587</t>
        </is>
      </c>
      <c r="C113" s="7" t="inlineStr">
        <is>
          <t xml:space="preserve">AHL3NVDRX7_1</t>
        </is>
      </c>
      <c r="D113" s="19" t="inlineStr">
        <is>
          <t xml:space="preserve">W0112_ATM_E57</t>
        </is>
      </c>
      <c r="E113" s="2">
        <v>5906</v>
      </c>
      <c r="F113" s="20" t="inlineStr">
        <is>
          <t xml:space="preserve">+</t>
        </is>
      </c>
      <c r="G113" s="4">
        <v>1.941</v>
      </c>
      <c r="H113" s="2">
        <v>4394</v>
      </c>
      <c r="I113" s="9" t="inlineStr">
        <is>
          <t xml:space="preserve">+</t>
        </is>
      </c>
      <c r="J113" s="4">
        <v>1.982</v>
      </c>
    </row>
    <row r="114">
      <c r="A114" s="6" t="inlineStr">
        <is>
          <t xml:space="preserve">HRD-177-26S052587</t>
        </is>
      </c>
      <c r="B114" s="7" t="inlineStr">
        <is>
          <t xml:space="preserve">HRD-177-26S052587</t>
        </is>
      </c>
      <c r="C114" s="7" t="inlineStr">
        <is>
          <t xml:space="preserve">AHL3NVDRX7_1</t>
        </is>
      </c>
      <c r="D114" s="19" t="inlineStr">
        <is>
          <t xml:space="preserve">W0113_ATM_E57</t>
        </is>
      </c>
      <c r="E114" s="2">
        <v>2583</v>
      </c>
      <c r="F114" s="20" t="inlineStr">
        <is>
          <t xml:space="preserve">+</t>
        </is>
      </c>
      <c r="G114" s="4">
        <v>0.849</v>
      </c>
      <c r="H114" s="2">
        <v>1992</v>
      </c>
      <c r="I114" s="9" t="inlineStr">
        <is>
          <t xml:space="preserve">+</t>
        </is>
      </c>
      <c r="J114" s="4">
        <v>0.899</v>
      </c>
    </row>
    <row r="115">
      <c r="A115" s="6" t="inlineStr">
        <is>
          <t xml:space="preserve">HRD-177-26S052587</t>
        </is>
      </c>
      <c r="B115" s="7" t="inlineStr">
        <is>
          <t xml:space="preserve">HRD-177-26S052587</t>
        </is>
      </c>
      <c r="C115" s="7" t="inlineStr">
        <is>
          <t xml:space="preserve">AHL3NVDRX7_1</t>
        </is>
      </c>
      <c r="D115" s="19" t="inlineStr">
        <is>
          <t xml:space="preserve">W0114_ATM_E58</t>
        </is>
      </c>
      <c r="E115" s="2">
        <v>736</v>
      </c>
      <c r="F115" s="20" t="inlineStr">
        <is>
          <t xml:space="preserve">+</t>
        </is>
      </c>
      <c r="G115" s="4">
        <v>0.242</v>
      </c>
      <c r="H115" s="2">
        <v>608</v>
      </c>
      <c r="I115" s="9" t="inlineStr">
        <is>
          <t xml:space="preserve">+</t>
        </is>
      </c>
      <c r="J115" s="4">
        <v>0.274</v>
      </c>
    </row>
    <row r="116">
      <c r="A116" s="6" t="inlineStr">
        <is>
          <t xml:space="preserve">HRD-177-26S052587</t>
        </is>
      </c>
      <c r="B116" s="7" t="inlineStr">
        <is>
          <t xml:space="preserve">HRD-177-26S052587</t>
        </is>
      </c>
      <c r="C116" s="7" t="inlineStr">
        <is>
          <t xml:space="preserve">AHL3NVDRX7_1</t>
        </is>
      </c>
      <c r="D116" s="19" t="inlineStr">
        <is>
          <t xml:space="preserve">W0115_ATM_E58</t>
        </is>
      </c>
      <c r="E116" s="2">
        <v>2573</v>
      </c>
      <c r="F116" s="20" t="inlineStr">
        <is>
          <t xml:space="preserve">+</t>
        </is>
      </c>
      <c r="G116" s="4">
        <v>0.846</v>
      </c>
      <c r="H116" s="2">
        <v>1953</v>
      </c>
      <c r="I116" s="9" t="inlineStr">
        <is>
          <t xml:space="preserve">+</t>
        </is>
      </c>
      <c r="J116" s="4">
        <v>0.881</v>
      </c>
    </row>
    <row r="117">
      <c r="A117" s="6" t="inlineStr">
        <is>
          <t xml:space="preserve">HRD-177-26S052587</t>
        </is>
      </c>
      <c r="B117" s="7" t="inlineStr">
        <is>
          <t xml:space="preserve">HRD-177-26S052587</t>
        </is>
      </c>
      <c r="C117" s="7" t="inlineStr">
        <is>
          <t xml:space="preserve">AHL3NVDRX7_1</t>
        </is>
      </c>
      <c r="D117" s="19" t="inlineStr">
        <is>
          <t xml:space="preserve">W0116_ATM_E59</t>
        </is>
      </c>
      <c r="E117" s="2">
        <v>6418</v>
      </c>
      <c r="F117" s="20" t="inlineStr">
        <is>
          <t xml:space="preserve">+</t>
        </is>
      </c>
      <c r="G117" s="4">
        <v>2.109</v>
      </c>
      <c r="H117" s="2">
        <v>4560</v>
      </c>
      <c r="I117" s="9" t="inlineStr">
        <is>
          <t xml:space="preserve">+</t>
        </is>
      </c>
      <c r="J117" s="4">
        <v>2.057</v>
      </c>
    </row>
    <row r="118">
      <c r="A118" s="6" t="inlineStr">
        <is>
          <t xml:space="preserve">HRD-177-26S052587</t>
        </is>
      </c>
      <c r="B118" s="7" t="inlineStr">
        <is>
          <t xml:space="preserve">HRD-177-26S052587</t>
        </is>
      </c>
      <c r="C118" s="7" t="inlineStr">
        <is>
          <t xml:space="preserve">AHL3NVDRX7_1</t>
        </is>
      </c>
      <c r="D118" s="19" t="inlineStr">
        <is>
          <t xml:space="preserve">W0117_ATM_E59</t>
        </is>
      </c>
      <c r="E118" s="2">
        <v>4980</v>
      </c>
      <c r="F118" s="20" t="inlineStr">
        <is>
          <t xml:space="preserve">+</t>
        </is>
      </c>
      <c r="G118" s="4">
        <v>1.637</v>
      </c>
      <c r="H118" s="2">
        <v>3631</v>
      </c>
      <c r="I118" s="9" t="inlineStr">
        <is>
          <t xml:space="preserve">+</t>
        </is>
      </c>
      <c r="J118" s="4">
        <v>1.638</v>
      </c>
    </row>
    <row r="119">
      <c r="A119" s="6" t="inlineStr">
        <is>
          <t xml:space="preserve">HRD-177-26S052587</t>
        </is>
      </c>
      <c r="B119" s="7" t="inlineStr">
        <is>
          <t xml:space="preserve">HRD-177-26S052587</t>
        </is>
      </c>
      <c r="C119" s="7" t="inlineStr">
        <is>
          <t xml:space="preserve">AHL3NVDRX7_1</t>
        </is>
      </c>
      <c r="D119" s="19" t="inlineStr">
        <is>
          <t xml:space="preserve">W0118_ATM_E60</t>
        </is>
      </c>
      <c r="E119" s="2">
        <v>5652</v>
      </c>
      <c r="F119" s="20" t="inlineStr">
        <is>
          <t xml:space="preserve">+</t>
        </is>
      </c>
      <c r="G119" s="4">
        <v>1.858</v>
      </c>
      <c r="H119" s="2">
        <v>4045</v>
      </c>
      <c r="I119" s="9" t="inlineStr">
        <is>
          <t xml:space="preserve">+</t>
        </is>
      </c>
      <c r="J119" s="4">
        <v>1.825</v>
      </c>
    </row>
    <row r="120">
      <c r="A120" s="6" t="inlineStr">
        <is>
          <t xml:space="preserve">HRD-177-26S052587</t>
        </is>
      </c>
      <c r="B120" s="7" t="inlineStr">
        <is>
          <t xml:space="preserve">HRD-177-26S052587</t>
        </is>
      </c>
      <c r="C120" s="7" t="inlineStr">
        <is>
          <t xml:space="preserve">AHL3NVDRX7_1</t>
        </is>
      </c>
      <c r="D120" s="19" t="inlineStr">
        <is>
          <t xml:space="preserve">W0119_ATM_E60</t>
        </is>
      </c>
      <c r="E120" s="2">
        <v>4428</v>
      </c>
      <c r="F120" s="20" t="inlineStr">
        <is>
          <t xml:space="preserve">+</t>
        </is>
      </c>
      <c r="G120" s="4">
        <v>1.455</v>
      </c>
      <c r="H120" s="2">
        <v>3129</v>
      </c>
      <c r="I120" s="9" t="inlineStr">
        <is>
          <t xml:space="preserve">+</t>
        </is>
      </c>
      <c r="J120" s="4">
        <v>1.412</v>
      </c>
    </row>
    <row r="121">
      <c r="A121" s="6" t="inlineStr">
        <is>
          <t xml:space="preserve">HRD-177-26S052587</t>
        </is>
      </c>
      <c r="B121" s="7" t="inlineStr">
        <is>
          <t xml:space="preserve">HRD-177-26S052587</t>
        </is>
      </c>
      <c r="C121" s="7" t="inlineStr">
        <is>
          <t xml:space="preserve">AHL3NVDRX7_1</t>
        </is>
      </c>
      <c r="D121" s="19" t="inlineStr">
        <is>
          <t xml:space="preserve">W0120_ATM_E61</t>
        </is>
      </c>
      <c r="E121" s="2">
        <v>6063</v>
      </c>
      <c r="F121" s="20" t="inlineStr">
        <is>
          <t xml:space="preserve">+</t>
        </is>
      </c>
      <c r="G121" s="4">
        <v>1.993</v>
      </c>
      <c r="H121" s="2">
        <v>4151</v>
      </c>
      <c r="I121" s="9" t="inlineStr">
        <is>
          <t xml:space="preserve">+</t>
        </is>
      </c>
      <c r="J121" s="4">
        <v>1.873</v>
      </c>
    </row>
    <row r="122">
      <c r="A122" s="6" t="inlineStr">
        <is>
          <t xml:space="preserve">HRD-177-26S052587</t>
        </is>
      </c>
      <c r="B122" s="7" t="inlineStr">
        <is>
          <t xml:space="preserve">HRD-177-26S052587</t>
        </is>
      </c>
      <c r="C122" s="7" t="inlineStr">
        <is>
          <t xml:space="preserve">AHL3NVDRX7_1</t>
        </is>
      </c>
      <c r="D122" s="19" t="inlineStr">
        <is>
          <t xml:space="preserve">W0121_ATM_E61</t>
        </is>
      </c>
      <c r="E122" s="2">
        <v>4971</v>
      </c>
      <c r="F122" s="20" t="inlineStr">
        <is>
          <t xml:space="preserve">+</t>
        </is>
      </c>
      <c r="G122" s="4">
        <v>1.634</v>
      </c>
      <c r="H122" s="2">
        <v>3651</v>
      </c>
      <c r="I122" s="9" t="inlineStr">
        <is>
          <t xml:space="preserve">+</t>
        </is>
      </c>
      <c r="J122" s="4">
        <v>1.647</v>
      </c>
    </row>
    <row r="123">
      <c r="A123" s="6" t="inlineStr">
        <is>
          <t xml:space="preserve">HRD-177-26S052587</t>
        </is>
      </c>
      <c r="B123" s="7" t="inlineStr">
        <is>
          <t xml:space="preserve">HRD-177-26S052587</t>
        </is>
      </c>
      <c r="C123" s="7" t="inlineStr">
        <is>
          <t xml:space="preserve">AHL3NVDRX7_1</t>
        </is>
      </c>
      <c r="D123" s="19" t="inlineStr">
        <is>
          <t xml:space="preserve">W0122_ATM_E62-63</t>
        </is>
      </c>
      <c r="E123" s="2">
        <v>1804</v>
      </c>
      <c r="F123" s="20" t="inlineStr">
        <is>
          <t xml:space="preserve">+</t>
        </is>
      </c>
      <c r="G123" s="4">
        <v>0.593</v>
      </c>
      <c r="H123" s="2">
        <v>1377</v>
      </c>
      <c r="I123" s="9" t="inlineStr">
        <is>
          <t xml:space="preserve">+</t>
        </is>
      </c>
      <c r="J123" s="4">
        <v>0.621</v>
      </c>
    </row>
    <row r="124">
      <c r="A124" s="6" t="inlineStr">
        <is>
          <t xml:space="preserve">HRD-177-26S052587</t>
        </is>
      </c>
      <c r="B124" s="7" t="inlineStr">
        <is>
          <t xml:space="preserve">HRD-177-26S052587</t>
        </is>
      </c>
      <c r="C124" s="7" t="inlineStr">
        <is>
          <t xml:space="preserve">AHL3NVDRX7_1</t>
        </is>
      </c>
      <c r="D124" s="19" t="inlineStr">
        <is>
          <t xml:space="preserve">W0123_ATM_E62-63</t>
        </is>
      </c>
      <c r="E124" s="2">
        <v>2215</v>
      </c>
      <c r="F124" s="20" t="inlineStr">
        <is>
          <t xml:space="preserve">+</t>
        </is>
      </c>
      <c r="G124" s="4">
        <v>0.728</v>
      </c>
      <c r="H124" s="2">
        <v>1700</v>
      </c>
      <c r="I124" s="9" t="inlineStr">
        <is>
          <t xml:space="preserve">+</t>
        </is>
      </c>
      <c r="J124" s="4">
        <v>0.767</v>
      </c>
    </row>
    <row r="125">
      <c r="A125" s="6" t="inlineStr">
        <is>
          <t xml:space="preserve">HRD-177-26S052587</t>
        </is>
      </c>
      <c r="B125" s="7" t="inlineStr">
        <is>
          <t xml:space="preserve">HRD-177-26S052587</t>
        </is>
      </c>
      <c r="C125" s="7" t="inlineStr">
        <is>
          <t xml:space="preserve">AHL3NVDRX7_1</t>
        </is>
      </c>
      <c r="D125" s="19" t="inlineStr">
        <is>
          <t xml:space="preserve">W0124_ATM_E62-63</t>
        </is>
      </c>
      <c r="E125" s="2">
        <v>2966</v>
      </c>
      <c r="F125" s="20" t="inlineStr">
        <is>
          <t xml:space="preserve">+</t>
        </is>
      </c>
      <c r="G125" s="4">
        <v>0.975</v>
      </c>
      <c r="H125" s="2">
        <v>2163</v>
      </c>
      <c r="I125" s="9" t="inlineStr">
        <is>
          <t xml:space="preserve">+</t>
        </is>
      </c>
      <c r="J125" s="4">
        <v>0.976</v>
      </c>
    </row>
    <row r="126">
      <c r="A126" s="6" t="inlineStr">
        <is>
          <t xml:space="preserve">HRD-177-26S052587</t>
        </is>
      </c>
      <c r="B126" s="7" t="inlineStr">
        <is>
          <t xml:space="preserve">HRD-177-26S052587</t>
        </is>
      </c>
      <c r="C126" s="7" t="inlineStr">
        <is>
          <t xml:space="preserve">AHL3NVDRX7_1</t>
        </is>
      </c>
      <c r="D126" s="19" t="inlineStr">
        <is>
          <t xml:space="preserve">W0125_ATM_E62-63</t>
        </is>
      </c>
      <c r="E126" s="2">
        <v>2546</v>
      </c>
      <c r="F126" s="20" t="inlineStr">
        <is>
          <t xml:space="preserve">+</t>
        </is>
      </c>
      <c r="G126" s="4">
        <v>0.837</v>
      </c>
      <c r="H126" s="2">
        <v>1952</v>
      </c>
      <c r="I126" s="9" t="inlineStr">
        <is>
          <t xml:space="preserve">+</t>
        </is>
      </c>
      <c r="J126" s="4">
        <v>0.881</v>
      </c>
    </row>
    <row r="127">
      <c r="A127" s="6" t="inlineStr">
        <is>
          <t xml:space="preserve">HRD-177-26S052587</t>
        </is>
      </c>
      <c r="B127" s="7" t="inlineStr">
        <is>
          <t xml:space="preserve">HRD-177-26S052587</t>
        </is>
      </c>
      <c r="C127" s="7" t="inlineStr">
        <is>
          <t xml:space="preserve">AHL3NVDRX7_1</t>
        </is>
      </c>
      <c r="D127" s="19" t="inlineStr">
        <is>
          <t xml:space="preserve">W0126_BARD1_E11</t>
        </is>
      </c>
      <c r="E127" s="2">
        <v>2362</v>
      </c>
      <c r="F127" s="20" t="inlineStr">
        <is>
          <t xml:space="preserve">+</t>
        </is>
      </c>
      <c r="G127" s="4">
        <v>0.776</v>
      </c>
      <c r="H127" s="2">
        <v>1812</v>
      </c>
      <c r="I127" s="9" t="inlineStr">
        <is>
          <t xml:space="preserve">+</t>
        </is>
      </c>
      <c r="J127" s="4">
        <v>0.817</v>
      </c>
    </row>
    <row r="128">
      <c r="A128" s="6" t="inlineStr">
        <is>
          <t xml:space="preserve">HRD-177-26S052587</t>
        </is>
      </c>
      <c r="B128" s="7" t="inlineStr">
        <is>
          <t xml:space="preserve">HRD-177-26S052587</t>
        </is>
      </c>
      <c r="C128" s="7" t="inlineStr">
        <is>
          <t xml:space="preserve">AHL3NVDRX7_1</t>
        </is>
      </c>
      <c r="D128" s="19" t="inlineStr">
        <is>
          <t xml:space="preserve">W0127_BARD1_E11</t>
        </is>
      </c>
      <c r="E128" s="2">
        <v>2915</v>
      </c>
      <c r="F128" s="20" t="inlineStr">
        <is>
          <t xml:space="preserve">+</t>
        </is>
      </c>
      <c r="G128" s="4">
        <v>0.958</v>
      </c>
      <c r="H128" s="2">
        <v>2120</v>
      </c>
      <c r="I128" s="9" t="inlineStr">
        <is>
          <t xml:space="preserve">+</t>
        </is>
      </c>
      <c r="J128" s="4">
        <v>0.956</v>
      </c>
    </row>
    <row r="129">
      <c r="A129" s="6" t="inlineStr">
        <is>
          <t xml:space="preserve">HRD-177-26S052587</t>
        </is>
      </c>
      <c r="B129" s="7" t="inlineStr">
        <is>
          <t xml:space="preserve">HRD-177-26S052587</t>
        </is>
      </c>
      <c r="C129" s="7" t="inlineStr">
        <is>
          <t xml:space="preserve">AHL3NVDRX7_1</t>
        </is>
      </c>
      <c r="D129" s="19" t="inlineStr">
        <is>
          <t xml:space="preserve">W0128_BARD1_E11</t>
        </is>
      </c>
      <c r="E129" s="2">
        <v>2812</v>
      </c>
      <c r="F129" s="20" t="inlineStr">
        <is>
          <t xml:space="preserve">+</t>
        </is>
      </c>
      <c r="G129" s="4">
        <v>0.924</v>
      </c>
      <c r="H129" s="2">
        <v>2067</v>
      </c>
      <c r="I129" s="9" t="inlineStr">
        <is>
          <t xml:space="preserve">+</t>
        </is>
      </c>
      <c r="J129" s="4">
        <v>0.932</v>
      </c>
    </row>
    <row r="130">
      <c r="A130" s="6" t="inlineStr">
        <is>
          <t xml:space="preserve">HRD-177-26S052587</t>
        </is>
      </c>
      <c r="B130" s="7" t="inlineStr">
        <is>
          <t xml:space="preserve">HRD-177-26S052587</t>
        </is>
      </c>
      <c r="C130" s="7" t="inlineStr">
        <is>
          <t xml:space="preserve">AHL3NVDRX7_1</t>
        </is>
      </c>
      <c r="D130" s="19" t="inlineStr">
        <is>
          <t xml:space="preserve">W0129_BARD1_E10</t>
        </is>
      </c>
      <c r="E130" s="2">
        <v>3626</v>
      </c>
      <c r="F130" s="20" t="inlineStr">
        <is>
          <t xml:space="preserve">+</t>
        </is>
      </c>
      <c r="G130" s="4">
        <v>1.192</v>
      </c>
      <c r="H130" s="2">
        <v>2730</v>
      </c>
      <c r="I130" s="9" t="inlineStr">
        <is>
          <t xml:space="preserve">+</t>
        </is>
      </c>
      <c r="J130" s="4">
        <v>1.232</v>
      </c>
    </row>
    <row r="131">
      <c r="A131" s="6" t="inlineStr">
        <is>
          <t xml:space="preserve">HRD-177-26S052587</t>
        </is>
      </c>
      <c r="B131" s="7" t="inlineStr">
        <is>
          <t xml:space="preserve">HRD-177-26S052587</t>
        </is>
      </c>
      <c r="C131" s="7" t="inlineStr">
        <is>
          <t xml:space="preserve">AHL3NVDRX7_1</t>
        </is>
      </c>
      <c r="D131" s="19" t="inlineStr">
        <is>
          <t xml:space="preserve">W0130_BARD1_E10</t>
        </is>
      </c>
      <c r="E131" s="2">
        <v>4669</v>
      </c>
      <c r="F131" s="20" t="inlineStr">
        <is>
          <t xml:space="preserve">+</t>
        </is>
      </c>
      <c r="G131" s="4">
        <v>1.534</v>
      </c>
      <c r="H131" s="2">
        <v>3436</v>
      </c>
      <c r="I131" s="9" t="inlineStr">
        <is>
          <t xml:space="preserve">+</t>
        </is>
      </c>
      <c r="J131" s="4">
        <v>1.55</v>
      </c>
    </row>
    <row r="132">
      <c r="A132" s="6" t="inlineStr">
        <is>
          <t xml:space="preserve">HRD-177-26S052587</t>
        </is>
      </c>
      <c r="B132" s="7" t="inlineStr">
        <is>
          <t xml:space="preserve">HRD-177-26S052587</t>
        </is>
      </c>
      <c r="C132" s="7" t="inlineStr">
        <is>
          <t xml:space="preserve">AHL3NVDRX7_1</t>
        </is>
      </c>
      <c r="D132" s="19" t="inlineStr">
        <is>
          <t xml:space="preserve">W0131_BARD1_E09</t>
        </is>
      </c>
      <c r="E132" s="2">
        <v>4236</v>
      </c>
      <c r="F132" s="20" t="inlineStr">
        <is>
          <t xml:space="preserve">+</t>
        </is>
      </c>
      <c r="G132" s="4">
        <v>1.392</v>
      </c>
      <c r="H132" s="2">
        <v>3081</v>
      </c>
      <c r="I132" s="9" t="inlineStr">
        <is>
          <t xml:space="preserve">+</t>
        </is>
      </c>
      <c r="J132" s="4">
        <v>1.39</v>
      </c>
    </row>
    <row r="133">
      <c r="A133" s="6" t="inlineStr">
        <is>
          <t xml:space="preserve">HRD-177-26S052587</t>
        </is>
      </c>
      <c r="B133" s="7" t="inlineStr">
        <is>
          <t xml:space="preserve">HRD-177-26S052587</t>
        </is>
      </c>
      <c r="C133" s="7" t="inlineStr">
        <is>
          <t xml:space="preserve">AHL3NVDRX7_1</t>
        </is>
      </c>
      <c r="D133" s="19" t="inlineStr">
        <is>
          <t xml:space="preserve">W0132_BARD1_E09</t>
        </is>
      </c>
      <c r="E133" s="2">
        <v>4612</v>
      </c>
      <c r="F133" s="20" t="inlineStr">
        <is>
          <t xml:space="preserve">+</t>
        </is>
      </c>
      <c r="G133" s="4">
        <v>1.516</v>
      </c>
      <c r="H133" s="2">
        <v>3303</v>
      </c>
      <c r="I133" s="9" t="inlineStr">
        <is>
          <t xml:space="preserve">+</t>
        </is>
      </c>
      <c r="J133" s="4">
        <v>1.49</v>
      </c>
    </row>
    <row r="134">
      <c r="A134" s="6" t="inlineStr">
        <is>
          <t xml:space="preserve">HRD-177-26S052587</t>
        </is>
      </c>
      <c r="B134" s="7" t="inlineStr">
        <is>
          <t xml:space="preserve">HRD-177-26S052587</t>
        </is>
      </c>
      <c r="C134" s="7" t="inlineStr">
        <is>
          <t xml:space="preserve">AHL3NVDRX7_1</t>
        </is>
      </c>
      <c r="D134" s="19" t="inlineStr">
        <is>
          <t xml:space="preserve">W0133_BARD1_E08</t>
        </is>
      </c>
      <c r="E134" s="2">
        <v>4169</v>
      </c>
      <c r="F134" s="20" t="inlineStr">
        <is>
          <t xml:space="preserve">+</t>
        </is>
      </c>
      <c r="G134" s="4">
        <v>1.37</v>
      </c>
      <c r="H134" s="2">
        <v>3118</v>
      </c>
      <c r="I134" s="9" t="inlineStr">
        <is>
          <t xml:space="preserve">+</t>
        </is>
      </c>
      <c r="J134" s="4">
        <v>1.407</v>
      </c>
    </row>
    <row r="135">
      <c r="A135" s="6" t="inlineStr">
        <is>
          <t xml:space="preserve">HRD-177-26S052587</t>
        </is>
      </c>
      <c r="B135" s="7" t="inlineStr">
        <is>
          <t xml:space="preserve">HRD-177-26S052587</t>
        </is>
      </c>
      <c r="C135" s="7" t="inlineStr">
        <is>
          <t xml:space="preserve">AHL3NVDRX7_1</t>
        </is>
      </c>
      <c r="D135" s="19" t="inlineStr">
        <is>
          <t xml:space="preserve">W0134_BARD1_E08</t>
        </is>
      </c>
      <c r="E135" s="2">
        <v>5443</v>
      </c>
      <c r="F135" s="20" t="inlineStr">
        <is>
          <t xml:space="preserve">+</t>
        </is>
      </c>
      <c r="G135" s="4">
        <v>1.789</v>
      </c>
      <c r="H135" s="2">
        <v>3870</v>
      </c>
      <c r="I135" s="9" t="inlineStr">
        <is>
          <t xml:space="preserve">+</t>
        </is>
      </c>
      <c r="J135" s="4">
        <v>1.746</v>
      </c>
    </row>
    <row r="136">
      <c r="A136" s="6" t="inlineStr">
        <is>
          <t xml:space="preserve">HRD-177-26S052587</t>
        </is>
      </c>
      <c r="B136" s="7" t="inlineStr">
        <is>
          <t xml:space="preserve">HRD-177-26S052587</t>
        </is>
      </c>
      <c r="C136" s="7" t="inlineStr">
        <is>
          <t xml:space="preserve">AHL3NVDRX7_1</t>
        </is>
      </c>
      <c r="D136" s="19" t="inlineStr">
        <is>
          <t xml:space="preserve">W0135_BARD1_E07</t>
        </is>
      </c>
      <c r="E136" s="2">
        <v>2848</v>
      </c>
      <c r="F136" s="20" t="inlineStr">
        <is>
          <t xml:space="preserve">+</t>
        </is>
      </c>
      <c r="G136" s="4">
        <v>0.936</v>
      </c>
      <c r="H136" s="2">
        <v>2203</v>
      </c>
      <c r="I136" s="9" t="inlineStr">
        <is>
          <t xml:space="preserve">+</t>
        </is>
      </c>
      <c r="J136" s="4">
        <v>0.994</v>
      </c>
    </row>
    <row r="137">
      <c r="A137" s="6" t="inlineStr">
        <is>
          <t xml:space="preserve">HRD-177-26S052587</t>
        </is>
      </c>
      <c r="B137" s="7" t="inlineStr">
        <is>
          <t xml:space="preserve">HRD-177-26S052587</t>
        </is>
      </c>
      <c r="C137" s="7" t="inlineStr">
        <is>
          <t xml:space="preserve">AHL3NVDRX7_1</t>
        </is>
      </c>
      <c r="D137" s="19" t="inlineStr">
        <is>
          <t xml:space="preserve">W0136_BARD1_E07</t>
        </is>
      </c>
      <c r="E137" s="2">
        <v>4836</v>
      </c>
      <c r="F137" s="20" t="inlineStr">
        <is>
          <t xml:space="preserve">+</t>
        </is>
      </c>
      <c r="G137" s="4">
        <v>1.589</v>
      </c>
      <c r="H137" s="2">
        <v>3475</v>
      </c>
      <c r="I137" s="9" t="inlineStr">
        <is>
          <t xml:space="preserve">+</t>
        </is>
      </c>
      <c r="J137" s="4">
        <v>1.568</v>
      </c>
    </row>
    <row r="138">
      <c r="A138" s="6" t="inlineStr">
        <is>
          <t xml:space="preserve">HRD-177-26S052587</t>
        </is>
      </c>
      <c r="B138" s="7" t="inlineStr">
        <is>
          <t xml:space="preserve">HRD-177-26S052587</t>
        </is>
      </c>
      <c r="C138" s="7" t="inlineStr">
        <is>
          <t xml:space="preserve">AHL3NVDRX7_1</t>
        </is>
      </c>
      <c r="D138" s="19" t="inlineStr">
        <is>
          <t xml:space="preserve">W0137_BARD1_E06</t>
        </is>
      </c>
      <c r="E138" s="2">
        <v>1784</v>
      </c>
      <c r="F138" s="20" t="inlineStr">
        <is>
          <t xml:space="preserve">+</t>
        </is>
      </c>
      <c r="G138" s="4">
        <v>0.586</v>
      </c>
      <c r="H138" s="2">
        <v>1330</v>
      </c>
      <c r="I138" s="9" t="inlineStr">
        <is>
          <t xml:space="preserve">+</t>
        </is>
      </c>
      <c r="J138" s="4">
        <v>0.6</v>
      </c>
    </row>
    <row r="139">
      <c r="A139" s="6" t="inlineStr">
        <is>
          <t xml:space="preserve">HRD-177-26S052587</t>
        </is>
      </c>
      <c r="B139" s="7" t="inlineStr">
        <is>
          <t xml:space="preserve">HRD-177-26S052587</t>
        </is>
      </c>
      <c r="C139" s="7" t="inlineStr">
        <is>
          <t xml:space="preserve">AHL3NVDRX7_1</t>
        </is>
      </c>
      <c r="D139" s="19" t="inlineStr">
        <is>
          <t xml:space="preserve">W0138_BARD1_E06</t>
        </is>
      </c>
      <c r="E139" s="2">
        <v>3181</v>
      </c>
      <c r="F139" s="20" t="inlineStr">
        <is>
          <t xml:space="preserve">+</t>
        </is>
      </c>
      <c r="G139" s="4">
        <v>1.045</v>
      </c>
      <c r="H139" s="2">
        <v>2345</v>
      </c>
      <c r="I139" s="9" t="inlineStr">
        <is>
          <t xml:space="preserve">+</t>
        </is>
      </c>
      <c r="J139" s="4">
        <v>1.058</v>
      </c>
    </row>
    <row r="140">
      <c r="A140" s="6" t="inlineStr">
        <is>
          <t xml:space="preserve">HRD-177-26S052587</t>
        </is>
      </c>
      <c r="B140" s="7" t="inlineStr">
        <is>
          <t xml:space="preserve">HRD-177-26S052587</t>
        </is>
      </c>
      <c r="C140" s="7" t="inlineStr">
        <is>
          <t xml:space="preserve">AHL3NVDRX7_1</t>
        </is>
      </c>
      <c r="D140" s="19" t="inlineStr">
        <is>
          <t xml:space="preserve">W0139_BARD1_E05</t>
        </is>
      </c>
      <c r="E140" s="2">
        <v>3847</v>
      </c>
      <c r="F140" s="20" t="inlineStr">
        <is>
          <t xml:space="preserve">+</t>
        </is>
      </c>
      <c r="G140" s="4">
        <v>1.264</v>
      </c>
      <c r="H140" s="2">
        <v>2749</v>
      </c>
      <c r="I140" s="9" t="inlineStr">
        <is>
          <t xml:space="preserve">+</t>
        </is>
      </c>
      <c r="J140" s="4">
        <v>1.24</v>
      </c>
    </row>
    <row r="141">
      <c r="A141" s="6" t="inlineStr">
        <is>
          <t xml:space="preserve">HRD-177-26S052587</t>
        </is>
      </c>
      <c r="B141" s="7" t="inlineStr">
        <is>
          <t xml:space="preserve">HRD-177-26S052587</t>
        </is>
      </c>
      <c r="C141" s="7" t="inlineStr">
        <is>
          <t xml:space="preserve">AHL3NVDRX7_1</t>
        </is>
      </c>
      <c r="D141" s="19" t="inlineStr">
        <is>
          <t xml:space="preserve">W0140_BARD1_E05</t>
        </is>
      </c>
      <c r="E141" s="2">
        <v>2903</v>
      </c>
      <c r="F141" s="20" t="inlineStr">
        <is>
          <t xml:space="preserve">+</t>
        </is>
      </c>
      <c r="G141" s="4">
        <v>0.954</v>
      </c>
      <c r="H141" s="2">
        <v>2125</v>
      </c>
      <c r="I141" s="9" t="inlineStr">
        <is>
          <t xml:space="preserve">+</t>
        </is>
      </c>
      <c r="J141" s="4">
        <v>0.959</v>
      </c>
    </row>
    <row r="142">
      <c r="A142" s="6" t="inlineStr">
        <is>
          <t xml:space="preserve">HRD-177-26S052587</t>
        </is>
      </c>
      <c r="B142" s="7" t="inlineStr">
        <is>
          <t xml:space="preserve">HRD-177-26S052587</t>
        </is>
      </c>
      <c r="C142" s="7" t="inlineStr">
        <is>
          <t xml:space="preserve">AHL3NVDRX7_1</t>
        </is>
      </c>
      <c r="D142" s="19" t="inlineStr">
        <is>
          <t xml:space="preserve">W0141_BARD1_E04</t>
        </is>
      </c>
      <c r="E142" s="2">
        <v>4221</v>
      </c>
      <c r="F142" s="20" t="inlineStr">
        <is>
          <t xml:space="preserve">+</t>
        </is>
      </c>
      <c r="G142" s="4">
        <v>1.387</v>
      </c>
      <c r="H142" s="2">
        <v>3076</v>
      </c>
      <c r="I142" s="9" t="inlineStr">
        <is>
          <t xml:space="preserve">+</t>
        </is>
      </c>
      <c r="J142" s="4">
        <v>1.388</v>
      </c>
    </row>
    <row r="143">
      <c r="A143" s="6" t="inlineStr">
        <is>
          <t xml:space="preserve">HRD-177-26S052587</t>
        </is>
      </c>
      <c r="B143" s="7" t="inlineStr">
        <is>
          <t xml:space="preserve">HRD-177-26S052587</t>
        </is>
      </c>
      <c r="C143" s="7" t="inlineStr">
        <is>
          <t xml:space="preserve">AHL3NVDRX7_1</t>
        </is>
      </c>
      <c r="D143" s="19" t="inlineStr">
        <is>
          <t xml:space="preserve">W0142_BARD1_E04</t>
        </is>
      </c>
      <c r="E143" s="2">
        <v>4030</v>
      </c>
      <c r="F143" s="20" t="inlineStr">
        <is>
          <t xml:space="preserve">+</t>
        </is>
      </c>
      <c r="G143" s="4">
        <v>1.324</v>
      </c>
      <c r="H143" s="2">
        <v>2779</v>
      </c>
      <c r="I143" s="9" t="inlineStr">
        <is>
          <t xml:space="preserve">+</t>
        </is>
      </c>
      <c r="J143" s="4">
        <v>1.254</v>
      </c>
    </row>
    <row r="144">
      <c r="A144" s="6" t="inlineStr">
        <is>
          <t xml:space="preserve">HRD-177-26S052587</t>
        </is>
      </c>
      <c r="B144" s="7" t="inlineStr">
        <is>
          <t xml:space="preserve">HRD-177-26S052587</t>
        </is>
      </c>
      <c r="C144" s="7" t="inlineStr">
        <is>
          <t xml:space="preserve">AHL3NVDRX7_1</t>
        </is>
      </c>
      <c r="D144" s="19" t="inlineStr">
        <is>
          <t xml:space="preserve">W0143_BARD1_E04</t>
        </is>
      </c>
      <c r="E144" s="2">
        <v>2404</v>
      </c>
      <c r="F144" s="20" t="inlineStr">
        <is>
          <t xml:space="preserve">+</t>
        </is>
      </c>
      <c r="G144" s="4">
        <v>0.79</v>
      </c>
      <c r="H144" s="2">
        <v>1821</v>
      </c>
      <c r="I144" s="9" t="inlineStr">
        <is>
          <t xml:space="preserve">+</t>
        </is>
      </c>
      <c r="J144" s="4">
        <v>0.822</v>
      </c>
    </row>
    <row r="145">
      <c r="A145" s="6" t="inlineStr">
        <is>
          <t xml:space="preserve">HRD-177-26S052587</t>
        </is>
      </c>
      <c r="B145" s="7" t="inlineStr">
        <is>
          <t xml:space="preserve">HRD-177-26S052587</t>
        </is>
      </c>
      <c r="C145" s="7" t="inlineStr">
        <is>
          <t xml:space="preserve">AHL3NVDRX7_1</t>
        </is>
      </c>
      <c r="D145" s="19" t="inlineStr">
        <is>
          <t xml:space="preserve">W0144_BARD1_E04</t>
        </is>
      </c>
      <c r="E145" s="2">
        <v>2420</v>
      </c>
      <c r="F145" s="20" t="inlineStr">
        <is>
          <t xml:space="preserve">+</t>
        </is>
      </c>
      <c r="G145" s="4">
        <v>0.795</v>
      </c>
      <c r="H145" s="2">
        <v>1867</v>
      </c>
      <c r="I145" s="9" t="inlineStr">
        <is>
          <t xml:space="preserve">+</t>
        </is>
      </c>
      <c r="J145" s="4">
        <v>0.842</v>
      </c>
    </row>
    <row r="146">
      <c r="A146" s="6" t="inlineStr">
        <is>
          <t xml:space="preserve">HRD-177-26S052587</t>
        </is>
      </c>
      <c r="B146" s="7" t="inlineStr">
        <is>
          <t xml:space="preserve">HRD-177-26S052587</t>
        </is>
      </c>
      <c r="C146" s="7" t="inlineStr">
        <is>
          <t xml:space="preserve">AHL3NVDRX7_1</t>
        </is>
      </c>
      <c r="D146" s="19" t="inlineStr">
        <is>
          <t xml:space="preserve">W0145_BARD1_E04</t>
        </is>
      </c>
      <c r="E146" s="2">
        <v>3444</v>
      </c>
      <c r="F146" s="20" t="inlineStr">
        <is>
          <t xml:space="preserve">+</t>
        </is>
      </c>
      <c r="G146" s="4">
        <v>1.132</v>
      </c>
      <c r="H146" s="2">
        <v>2549</v>
      </c>
      <c r="I146" s="9" t="inlineStr">
        <is>
          <t xml:space="preserve">+</t>
        </is>
      </c>
      <c r="J146" s="4">
        <v>1.15</v>
      </c>
    </row>
    <row r="147">
      <c r="A147" s="6" t="inlineStr">
        <is>
          <t xml:space="preserve">HRD-177-26S052587</t>
        </is>
      </c>
      <c r="B147" s="7" t="inlineStr">
        <is>
          <t xml:space="preserve">HRD-177-26S052587</t>
        </is>
      </c>
      <c r="C147" s="7" t="inlineStr">
        <is>
          <t xml:space="preserve">AHL3NVDRX7_1</t>
        </is>
      </c>
      <c r="D147" s="19" t="inlineStr">
        <is>
          <t xml:space="preserve">W0146_BARD1_E04</t>
        </is>
      </c>
      <c r="E147" s="2">
        <v>2613</v>
      </c>
      <c r="F147" s="20" t="inlineStr">
        <is>
          <t xml:space="preserve">+</t>
        </is>
      </c>
      <c r="G147" s="4">
        <v>0.859</v>
      </c>
      <c r="H147" s="2">
        <v>2004</v>
      </c>
      <c r="I147" s="9" t="inlineStr">
        <is>
          <t xml:space="preserve">+</t>
        </is>
      </c>
      <c r="J147" s="4">
        <v>0.904</v>
      </c>
    </row>
    <row r="148">
      <c r="A148" s="6" t="inlineStr">
        <is>
          <t xml:space="preserve">HRD-177-26S052587</t>
        </is>
      </c>
      <c r="B148" s="7" t="inlineStr">
        <is>
          <t xml:space="preserve">HRD-177-26S052587</t>
        </is>
      </c>
      <c r="C148" s="7" t="inlineStr">
        <is>
          <t xml:space="preserve">AHL3NVDRX7_1</t>
        </is>
      </c>
      <c r="D148" s="19" t="inlineStr">
        <is>
          <t xml:space="preserve">W0147_BARD1_E04</t>
        </is>
      </c>
      <c r="E148" s="2">
        <v>3262</v>
      </c>
      <c r="F148" s="20" t="inlineStr">
        <is>
          <t xml:space="preserve">+</t>
        </is>
      </c>
      <c r="G148" s="4">
        <v>1.072</v>
      </c>
      <c r="H148" s="2">
        <v>2454</v>
      </c>
      <c r="I148" s="9" t="inlineStr">
        <is>
          <t xml:space="preserve">+</t>
        </is>
      </c>
      <c r="J148" s="4">
        <v>1.107</v>
      </c>
    </row>
    <row r="149">
      <c r="A149" s="6" t="inlineStr">
        <is>
          <t xml:space="preserve">HRD-177-26S052587</t>
        </is>
      </c>
      <c r="B149" s="7" t="inlineStr">
        <is>
          <t xml:space="preserve">HRD-177-26S052587</t>
        </is>
      </c>
      <c r="C149" s="7" t="inlineStr">
        <is>
          <t xml:space="preserve">AHL3NVDRX7_1</t>
        </is>
      </c>
      <c r="D149" s="19" t="inlineStr">
        <is>
          <t xml:space="preserve">W0148_BARD1_E04</t>
        </is>
      </c>
      <c r="E149" s="2">
        <v>2328</v>
      </c>
      <c r="F149" s="20" t="inlineStr">
        <is>
          <t xml:space="preserve">+</t>
        </is>
      </c>
      <c r="G149" s="4">
        <v>0.765</v>
      </c>
      <c r="H149" s="2">
        <v>1742</v>
      </c>
      <c r="I149" s="9" t="inlineStr">
        <is>
          <t xml:space="preserve">+</t>
        </is>
      </c>
      <c r="J149" s="4">
        <v>0.786</v>
      </c>
    </row>
    <row r="150">
      <c r="A150" s="6" t="inlineStr">
        <is>
          <t xml:space="preserve">HRD-177-26S052587</t>
        </is>
      </c>
      <c r="B150" s="7" t="inlineStr">
        <is>
          <t xml:space="preserve">HRD-177-26S052587</t>
        </is>
      </c>
      <c r="C150" s="7" t="inlineStr">
        <is>
          <t xml:space="preserve">AHL3NVDRX7_1</t>
        </is>
      </c>
      <c r="D150" s="19" t="inlineStr">
        <is>
          <t xml:space="preserve">W0149_BARD1_E03</t>
        </is>
      </c>
      <c r="E150" s="2">
        <v>1885</v>
      </c>
      <c r="F150" s="20" t="inlineStr">
        <is>
          <t xml:space="preserve">+</t>
        </is>
      </c>
      <c r="G150" s="4">
        <v>0.62</v>
      </c>
      <c r="H150" s="2">
        <v>1450</v>
      </c>
      <c r="I150" s="9" t="inlineStr">
        <is>
          <t xml:space="preserve">+</t>
        </is>
      </c>
      <c r="J150" s="4">
        <v>0.654</v>
      </c>
    </row>
    <row r="151">
      <c r="A151" s="6" t="inlineStr">
        <is>
          <t xml:space="preserve">HRD-177-26S052587</t>
        </is>
      </c>
      <c r="B151" s="7" t="inlineStr">
        <is>
          <t xml:space="preserve">HRD-177-26S052587</t>
        </is>
      </c>
      <c r="C151" s="7" t="inlineStr">
        <is>
          <t xml:space="preserve">AHL3NVDRX7_1</t>
        </is>
      </c>
      <c r="D151" s="19" t="inlineStr">
        <is>
          <t xml:space="preserve">W0150_BARD1_E03</t>
        </is>
      </c>
      <c r="E151" s="2">
        <v>3221</v>
      </c>
      <c r="F151" s="20" t="inlineStr">
        <is>
          <t xml:space="preserve">+</t>
        </is>
      </c>
      <c r="G151" s="4">
        <v>1.059</v>
      </c>
      <c r="H151" s="2">
        <v>2621</v>
      </c>
      <c r="I151" s="9" t="inlineStr">
        <is>
          <t xml:space="preserve">+</t>
        </is>
      </c>
      <c r="J151" s="4">
        <v>1.182</v>
      </c>
    </row>
    <row r="152">
      <c r="A152" s="6" t="inlineStr">
        <is>
          <t xml:space="preserve">HRD-177-26S052587</t>
        </is>
      </c>
      <c r="B152" s="7" t="inlineStr">
        <is>
          <t xml:space="preserve">HRD-177-26S052587</t>
        </is>
      </c>
      <c r="C152" s="7" t="inlineStr">
        <is>
          <t xml:space="preserve">AHL3NVDRX7_1</t>
        </is>
      </c>
      <c r="D152" s="19" t="inlineStr">
        <is>
          <t xml:space="preserve">W0151_BARD1_E02</t>
        </is>
      </c>
      <c r="E152" s="2">
        <v>5024</v>
      </c>
      <c r="F152" s="20" t="inlineStr">
        <is>
          <t xml:space="preserve">+</t>
        </is>
      </c>
      <c r="G152" s="4">
        <v>1.651</v>
      </c>
      <c r="H152" s="2">
        <v>3523</v>
      </c>
      <c r="I152" s="9" t="inlineStr">
        <is>
          <t xml:space="preserve">+</t>
        </is>
      </c>
      <c r="J152" s="4">
        <v>1.589</v>
      </c>
    </row>
    <row r="153">
      <c r="A153" s="6" t="inlineStr">
        <is>
          <t xml:space="preserve">HRD-177-26S052587</t>
        </is>
      </c>
      <c r="B153" s="7" t="inlineStr">
        <is>
          <t xml:space="preserve">HRD-177-26S052587</t>
        </is>
      </c>
      <c r="C153" s="7" t="inlineStr">
        <is>
          <t xml:space="preserve">AHL3NVDRX7_1</t>
        </is>
      </c>
      <c r="D153" s="19" t="inlineStr">
        <is>
          <t xml:space="preserve">W0152_BARD1_E02</t>
        </is>
      </c>
      <c r="E153" s="2">
        <v>6982</v>
      </c>
      <c r="F153" s="20" t="inlineStr">
        <is>
          <t xml:space="preserve">+</t>
        </is>
      </c>
      <c r="G153" s="4">
        <v>2.295</v>
      </c>
      <c r="H153" s="2">
        <v>4605</v>
      </c>
      <c r="I153" s="9" t="inlineStr">
        <is>
          <t xml:space="preserve">+</t>
        </is>
      </c>
      <c r="J153" s="4">
        <v>2.077</v>
      </c>
    </row>
    <row r="154">
      <c r="A154" s="6" t="inlineStr">
        <is>
          <t xml:space="preserve">HRD-177-26S052587</t>
        </is>
      </c>
      <c r="B154" s="7" t="inlineStr">
        <is>
          <t xml:space="preserve">HRD-177-26S052587</t>
        </is>
      </c>
      <c r="C154" s="7" t="inlineStr">
        <is>
          <t xml:space="preserve">AHL3NVDRX7_1</t>
        </is>
      </c>
      <c r="D154" s="19" t="inlineStr">
        <is>
          <t xml:space="preserve">W0153_BARD1_E01</t>
        </is>
      </c>
      <c r="E154" s="2">
        <v>1372</v>
      </c>
      <c r="F154" s="20" t="inlineStr">
        <is>
          <t xml:space="preserve">+</t>
        </is>
      </c>
      <c r="G154" s="4">
        <v>0.451</v>
      </c>
      <c r="H154" s="2">
        <v>988</v>
      </c>
      <c r="I154" s="9" t="inlineStr">
        <is>
          <t xml:space="preserve">+</t>
        </is>
      </c>
      <c r="J154" s="4">
        <v>0.446</v>
      </c>
    </row>
    <row r="155">
      <c r="A155" s="6" t="inlineStr">
        <is>
          <t xml:space="preserve">HRD-177-26S052587</t>
        </is>
      </c>
      <c r="B155" s="7" t="inlineStr">
        <is>
          <t xml:space="preserve">HRD-177-26S052587</t>
        </is>
      </c>
      <c r="C155" s="7" t="inlineStr">
        <is>
          <t xml:space="preserve">AHL3NVDRX7_1</t>
        </is>
      </c>
      <c r="D155" s="19" t="inlineStr">
        <is>
          <t xml:space="preserve">W0154_BARD1_E01</t>
        </is>
      </c>
      <c r="E155" s="2">
        <v>1186</v>
      </c>
      <c r="F155" s="20" t="inlineStr">
        <is>
          <t xml:space="preserve">+</t>
        </is>
      </c>
      <c r="G155" s="4">
        <v>0.39</v>
      </c>
      <c r="H155" s="2">
        <v>852</v>
      </c>
      <c r="I155" s="9" t="inlineStr">
        <is>
          <t xml:space="preserve">+</t>
        </is>
      </c>
      <c r="J155" s="4">
        <v>0.384</v>
      </c>
    </row>
    <row r="156">
      <c r="A156" s="6" t="inlineStr">
        <is>
          <t xml:space="preserve">HRD-177-26S052587</t>
        </is>
      </c>
      <c r="B156" s="7" t="inlineStr">
        <is>
          <t xml:space="preserve">HRD-177-26S052587</t>
        </is>
      </c>
      <c r="C156" s="7" t="inlineStr">
        <is>
          <t xml:space="preserve">AHL3NVDRX7_1</t>
        </is>
      </c>
      <c r="D156" s="19" t="inlineStr">
        <is>
          <t xml:space="preserve">W0155_BRCA1_UTR3</t>
        </is>
      </c>
      <c r="E156" s="2">
        <v>2298</v>
      </c>
      <c r="F156" s="20" t="inlineStr">
        <is>
          <t xml:space="preserve">+</t>
        </is>
      </c>
      <c r="G156" s="4">
        <v>0.755</v>
      </c>
      <c r="H156" s="2">
        <v>1734</v>
      </c>
      <c r="I156" s="9" t="inlineStr">
        <is>
          <t xml:space="preserve">+</t>
        </is>
      </c>
      <c r="J156" s="4">
        <v>0.782</v>
      </c>
    </row>
    <row r="157">
      <c r="A157" s="6" t="inlineStr">
        <is>
          <t xml:space="preserve">HRD-177-26S052587</t>
        </is>
      </c>
      <c r="B157" s="7" t="inlineStr">
        <is>
          <t xml:space="preserve">HRD-177-26S052587</t>
        </is>
      </c>
      <c r="C157" s="7" t="inlineStr">
        <is>
          <t xml:space="preserve">AHL3NVDRX7_1</t>
        </is>
      </c>
      <c r="D157" s="19" t="inlineStr">
        <is>
          <t xml:space="preserve">W0156_BRCA1_UTR3</t>
        </is>
      </c>
      <c r="E157" s="2">
        <v>1575</v>
      </c>
      <c r="F157" s="20" t="inlineStr">
        <is>
          <t xml:space="preserve">+</t>
        </is>
      </c>
      <c r="G157" s="4">
        <v>0.518</v>
      </c>
      <c r="H157" s="2">
        <v>1212</v>
      </c>
      <c r="I157" s="9" t="inlineStr">
        <is>
          <t xml:space="preserve">+</t>
        </is>
      </c>
      <c r="J157" s="4">
        <v>0.547</v>
      </c>
    </row>
    <row r="158">
      <c r="A158" s="6" t="inlineStr">
        <is>
          <t xml:space="preserve">HRD-177-26S052587</t>
        </is>
      </c>
      <c r="B158" s="7" t="inlineStr">
        <is>
          <t xml:space="preserve">HRD-177-26S052587</t>
        </is>
      </c>
      <c r="C158" s="7" t="inlineStr">
        <is>
          <t xml:space="preserve">AHL3NVDRX7_1</t>
        </is>
      </c>
      <c r="D158" s="19" t="inlineStr">
        <is>
          <t xml:space="preserve">W0158_BRCA1_UTR3</t>
        </is>
      </c>
      <c r="E158" s="2">
        <v>2773</v>
      </c>
      <c r="F158" s="20" t="inlineStr">
        <is>
          <t xml:space="preserve">+</t>
        </is>
      </c>
      <c r="G158" s="4">
        <v>0.911</v>
      </c>
      <c r="H158" s="2">
        <v>2052</v>
      </c>
      <c r="I158" s="9" t="inlineStr">
        <is>
          <t xml:space="preserve">+</t>
        </is>
      </c>
      <c r="J158" s="4">
        <v>0.926</v>
      </c>
    </row>
    <row r="159">
      <c r="A159" s="6" t="inlineStr">
        <is>
          <t xml:space="preserve">HRD-177-26S052587</t>
        </is>
      </c>
      <c r="B159" s="7" t="inlineStr">
        <is>
          <t xml:space="preserve">HRD-177-26S052587</t>
        </is>
      </c>
      <c r="C159" s="7" t="inlineStr">
        <is>
          <t xml:space="preserve">AHL3NVDRX7_1</t>
        </is>
      </c>
      <c r="D159" s="19" t="inlineStr">
        <is>
          <t xml:space="preserve">W0159_BRCA1_UTR3</t>
        </is>
      </c>
      <c r="E159" s="2">
        <v>3910</v>
      </c>
      <c r="F159" s="20" t="inlineStr">
        <is>
          <t xml:space="preserve">+</t>
        </is>
      </c>
      <c r="G159" s="4">
        <v>1.285</v>
      </c>
      <c r="H159" s="2">
        <v>2685</v>
      </c>
      <c r="I159" s="9" t="inlineStr">
        <is>
          <t xml:space="preserve">+</t>
        </is>
      </c>
      <c r="J159" s="4">
        <v>1.211</v>
      </c>
    </row>
    <row r="160">
      <c r="A160" s="6" t="inlineStr">
        <is>
          <t xml:space="preserve">HRD-177-26S052587</t>
        </is>
      </c>
      <c r="B160" s="7" t="inlineStr">
        <is>
          <t xml:space="preserve">HRD-177-26S052587</t>
        </is>
      </c>
      <c r="C160" s="7" t="inlineStr">
        <is>
          <t xml:space="preserve">AHL3NVDRX7_1</t>
        </is>
      </c>
      <c r="D160" s="19" t="inlineStr">
        <is>
          <t xml:space="preserve">W0160_BRCA1_UTR3</t>
        </is>
      </c>
      <c r="E160" s="2">
        <v>2055</v>
      </c>
      <c r="F160" s="20" t="inlineStr">
        <is>
          <t xml:space="preserve">+</t>
        </is>
      </c>
      <c r="G160" s="4">
        <v>0.675</v>
      </c>
      <c r="H160" s="2">
        <v>1496</v>
      </c>
      <c r="I160" s="9" t="inlineStr">
        <is>
          <t xml:space="preserve">+</t>
        </is>
      </c>
      <c r="J160" s="4">
        <v>0.675</v>
      </c>
    </row>
    <row r="161">
      <c r="A161" s="6" t="inlineStr">
        <is>
          <t xml:space="preserve">HRD-177-26S052587</t>
        </is>
      </c>
      <c r="B161" s="7" t="inlineStr">
        <is>
          <t xml:space="preserve">HRD-177-26S052587</t>
        </is>
      </c>
      <c r="C161" s="7" t="inlineStr">
        <is>
          <t xml:space="preserve">AHL3NVDRX7_1</t>
        </is>
      </c>
      <c r="D161" s="19" t="inlineStr">
        <is>
          <t xml:space="preserve">W0161_BRCA1_E24</t>
        </is>
      </c>
      <c r="E161" s="2">
        <v>2462</v>
      </c>
      <c r="F161" s="20" t="inlineStr">
        <is>
          <t xml:space="preserve">+</t>
        </is>
      </c>
      <c r="G161" s="4">
        <v>0.809</v>
      </c>
      <c r="H161" s="2">
        <v>1737</v>
      </c>
      <c r="I161" s="9" t="inlineStr">
        <is>
          <t xml:space="preserve">+</t>
        </is>
      </c>
      <c r="J161" s="4">
        <v>0.784</v>
      </c>
    </row>
    <row r="162">
      <c r="A162" s="6" t="inlineStr">
        <is>
          <t xml:space="preserve">HRD-177-26S052587</t>
        </is>
      </c>
      <c r="B162" s="7" t="inlineStr">
        <is>
          <t xml:space="preserve">HRD-177-26S052587</t>
        </is>
      </c>
      <c r="C162" s="7" t="inlineStr">
        <is>
          <t xml:space="preserve">AHL3NVDRX7_1</t>
        </is>
      </c>
      <c r="D162" s="19" t="inlineStr">
        <is>
          <t xml:space="preserve">W0162_BRCA1_E24</t>
        </is>
      </c>
      <c r="E162" s="2">
        <v>3345</v>
      </c>
      <c r="F162" s="20" t="inlineStr">
        <is>
          <t xml:space="preserve">+</t>
        </is>
      </c>
      <c r="G162" s="4">
        <v>1.099</v>
      </c>
      <c r="H162" s="2">
        <v>2163</v>
      </c>
      <c r="I162" s="9" t="inlineStr">
        <is>
          <t xml:space="preserve">+</t>
        </is>
      </c>
      <c r="J162" s="4">
        <v>0.976</v>
      </c>
    </row>
    <row r="163">
      <c r="A163" s="6" t="inlineStr">
        <is>
          <t xml:space="preserve">HRD-177-26S052587</t>
        </is>
      </c>
      <c r="B163" s="7" t="inlineStr">
        <is>
          <t xml:space="preserve">HRD-177-26S052587</t>
        </is>
      </c>
      <c r="C163" s="7" t="inlineStr">
        <is>
          <t xml:space="preserve">AHL3NVDRX7_1</t>
        </is>
      </c>
      <c r="D163" s="19" t="inlineStr">
        <is>
          <t xml:space="preserve">W0163_BRCA1_E24</t>
        </is>
      </c>
      <c r="E163" s="2">
        <v>4578</v>
      </c>
      <c r="F163" s="20" t="inlineStr">
        <is>
          <t xml:space="preserve">+</t>
        </is>
      </c>
      <c r="G163" s="4">
        <v>1.505</v>
      </c>
      <c r="H163" s="2">
        <v>2986</v>
      </c>
      <c r="I163" s="9" t="inlineStr">
        <is>
          <t xml:space="preserve">+</t>
        </is>
      </c>
      <c r="J163" s="4">
        <v>1.347</v>
      </c>
    </row>
    <row r="164">
      <c r="A164" s="6" t="inlineStr">
        <is>
          <t xml:space="preserve">HRD-177-26S052587</t>
        </is>
      </c>
      <c r="B164" s="7" t="inlineStr">
        <is>
          <t xml:space="preserve">HRD-177-26S052587</t>
        </is>
      </c>
      <c r="C164" s="7" t="inlineStr">
        <is>
          <t xml:space="preserve">AHL3NVDRX7_1</t>
        </is>
      </c>
      <c r="D164" s="19" t="inlineStr">
        <is>
          <t xml:space="preserve">W0164_BRCA1_E23</t>
        </is>
      </c>
      <c r="E164" s="2">
        <v>4018</v>
      </c>
      <c r="F164" s="20" t="inlineStr">
        <is>
          <t xml:space="preserve">+</t>
        </is>
      </c>
      <c r="G164" s="4">
        <v>1.321</v>
      </c>
      <c r="H164" s="2">
        <v>2618</v>
      </c>
      <c r="I164" s="9" t="inlineStr">
        <is>
          <t xml:space="preserve">+</t>
        </is>
      </c>
      <c r="J164" s="4">
        <v>1.181</v>
      </c>
    </row>
    <row r="165">
      <c r="A165" s="6" t="inlineStr">
        <is>
          <t xml:space="preserve">HRD-177-26S052587</t>
        </is>
      </c>
      <c r="B165" s="7" t="inlineStr">
        <is>
          <t xml:space="preserve">HRD-177-26S052587</t>
        </is>
      </c>
      <c r="C165" s="7" t="inlineStr">
        <is>
          <t xml:space="preserve">AHL3NVDRX7_1</t>
        </is>
      </c>
      <c r="D165" s="19" t="inlineStr">
        <is>
          <t xml:space="preserve">W0165_BRCA1_E23</t>
        </is>
      </c>
      <c r="E165" s="2">
        <v>3765</v>
      </c>
      <c r="F165" s="20" t="inlineStr">
        <is>
          <t xml:space="preserve">+</t>
        </is>
      </c>
      <c r="G165" s="4">
        <v>1.237</v>
      </c>
      <c r="H165" s="2">
        <v>2446</v>
      </c>
      <c r="I165" s="9" t="inlineStr">
        <is>
          <t xml:space="preserve">+</t>
        </is>
      </c>
      <c r="J165" s="4">
        <v>1.103</v>
      </c>
    </row>
    <row r="166">
      <c r="A166" s="6" t="inlineStr">
        <is>
          <t xml:space="preserve">HRD-177-26S052587</t>
        </is>
      </c>
      <c r="B166" s="7" t="inlineStr">
        <is>
          <t xml:space="preserve">HRD-177-26S052587</t>
        </is>
      </c>
      <c r="C166" s="7" t="inlineStr">
        <is>
          <t xml:space="preserve">AHL3NVDRX7_1</t>
        </is>
      </c>
      <c r="D166" s="19" t="inlineStr">
        <is>
          <t xml:space="preserve">W0166_BRCA1_E22</t>
        </is>
      </c>
      <c r="E166" s="2">
        <v>3360</v>
      </c>
      <c r="F166" s="20" t="inlineStr">
        <is>
          <t xml:space="preserve">+</t>
        </is>
      </c>
      <c r="G166" s="4">
        <v>1.104</v>
      </c>
      <c r="H166" s="2">
        <v>2276</v>
      </c>
      <c r="I166" s="9" t="inlineStr">
        <is>
          <t xml:space="preserve">+</t>
        </is>
      </c>
      <c r="J166" s="4">
        <v>1.027</v>
      </c>
    </row>
    <row r="167">
      <c r="A167" s="6" t="inlineStr">
        <is>
          <t xml:space="preserve">HRD-177-26S052587</t>
        </is>
      </c>
      <c r="B167" s="7" t="inlineStr">
        <is>
          <t xml:space="preserve">HRD-177-26S052587</t>
        </is>
      </c>
      <c r="C167" s="7" t="inlineStr">
        <is>
          <t xml:space="preserve">AHL3NVDRX7_1</t>
        </is>
      </c>
      <c r="D167" s="19" t="inlineStr">
        <is>
          <t xml:space="preserve">W0167_BRCA1_E22</t>
        </is>
      </c>
      <c r="E167" s="2">
        <v>3370</v>
      </c>
      <c r="F167" s="20" t="inlineStr">
        <is>
          <t xml:space="preserve">+</t>
        </is>
      </c>
      <c r="G167" s="4">
        <v>1.108</v>
      </c>
      <c r="H167" s="2">
        <v>2229</v>
      </c>
      <c r="I167" s="9" t="inlineStr">
        <is>
          <t xml:space="preserve">+</t>
        </is>
      </c>
      <c r="J167" s="4">
        <v>1.006</v>
      </c>
    </row>
    <row r="168">
      <c r="A168" s="6" t="inlineStr">
        <is>
          <t xml:space="preserve">HRD-177-26S052587</t>
        </is>
      </c>
      <c r="B168" s="7" t="inlineStr">
        <is>
          <t xml:space="preserve">HRD-177-26S052587</t>
        </is>
      </c>
      <c r="C168" s="7" t="inlineStr">
        <is>
          <t xml:space="preserve">AHL3NVDRX7_1</t>
        </is>
      </c>
      <c r="D168" s="19" t="inlineStr">
        <is>
          <t xml:space="preserve">W0168_BRCA1_E21</t>
        </is>
      </c>
      <c r="E168" s="2">
        <v>3155</v>
      </c>
      <c r="F168" s="20" t="inlineStr">
        <is>
          <t xml:space="preserve">+</t>
        </is>
      </c>
      <c r="G168" s="4">
        <v>1.037</v>
      </c>
      <c r="H168" s="2">
        <v>2274</v>
      </c>
      <c r="I168" s="9" t="inlineStr">
        <is>
          <t xml:space="preserve">+</t>
        </is>
      </c>
      <c r="J168" s="4">
        <v>1.026</v>
      </c>
    </row>
    <row r="169">
      <c r="A169" s="6" t="inlineStr">
        <is>
          <t xml:space="preserve">HRD-177-26S052587</t>
        </is>
      </c>
      <c r="B169" s="7" t="inlineStr">
        <is>
          <t xml:space="preserve">HRD-177-26S052587</t>
        </is>
      </c>
      <c r="C169" s="7" t="inlineStr">
        <is>
          <t xml:space="preserve">AHL3NVDRX7_1</t>
        </is>
      </c>
      <c r="D169" s="19" t="inlineStr">
        <is>
          <t xml:space="preserve">W0169_BRCA1_E21</t>
        </is>
      </c>
      <c r="E169" s="2">
        <v>3459</v>
      </c>
      <c r="F169" s="20" t="inlineStr">
        <is>
          <t xml:space="preserve">+</t>
        </is>
      </c>
      <c r="G169" s="4">
        <v>1.137</v>
      </c>
      <c r="H169" s="2">
        <v>2404</v>
      </c>
      <c r="I169" s="9" t="inlineStr">
        <is>
          <t xml:space="preserve">+</t>
        </is>
      </c>
      <c r="J169" s="4">
        <v>1.085</v>
      </c>
    </row>
    <row r="170">
      <c r="A170" s="6" t="inlineStr">
        <is>
          <t xml:space="preserve">HRD-177-26S052587</t>
        </is>
      </c>
      <c r="B170" s="7" t="inlineStr">
        <is>
          <t xml:space="preserve">HRD-177-26S052587</t>
        </is>
      </c>
      <c r="C170" s="7" t="inlineStr">
        <is>
          <t xml:space="preserve">AHL3NVDRX7_1</t>
        </is>
      </c>
      <c r="D170" s="19" t="inlineStr">
        <is>
          <t xml:space="preserve">W0170_BRCA1_E20</t>
        </is>
      </c>
      <c r="E170" s="2">
        <v>3178</v>
      </c>
      <c r="F170" s="20" t="inlineStr">
        <is>
          <t xml:space="preserve">+</t>
        </is>
      </c>
      <c r="G170" s="4">
        <v>1.044</v>
      </c>
      <c r="H170" s="2">
        <v>2301</v>
      </c>
      <c r="I170" s="9" t="inlineStr">
        <is>
          <t xml:space="preserve">+</t>
        </is>
      </c>
      <c r="J170" s="4">
        <v>1.038</v>
      </c>
    </row>
    <row r="171">
      <c r="A171" s="6" t="inlineStr">
        <is>
          <t xml:space="preserve">HRD-177-26S052587</t>
        </is>
      </c>
      <c r="B171" s="7" t="inlineStr">
        <is>
          <t xml:space="preserve">HRD-177-26S052587</t>
        </is>
      </c>
      <c r="C171" s="7" t="inlineStr">
        <is>
          <t xml:space="preserve">AHL3NVDRX7_1</t>
        </is>
      </c>
      <c r="D171" s="19" t="inlineStr">
        <is>
          <t xml:space="preserve">W0171_BRCA1_E20</t>
        </is>
      </c>
      <c r="E171" s="2">
        <v>2280</v>
      </c>
      <c r="F171" s="20" t="inlineStr">
        <is>
          <t xml:space="preserve">+</t>
        </is>
      </c>
      <c r="G171" s="4">
        <v>0.749</v>
      </c>
      <c r="H171" s="2">
        <v>1654</v>
      </c>
      <c r="I171" s="9" t="inlineStr">
        <is>
          <t xml:space="preserve">+</t>
        </is>
      </c>
      <c r="J171" s="4">
        <v>0.746</v>
      </c>
    </row>
    <row r="172">
      <c r="A172" s="6" t="inlineStr">
        <is>
          <t xml:space="preserve">HRD-177-26S052587</t>
        </is>
      </c>
      <c r="B172" s="7" t="inlineStr">
        <is>
          <t xml:space="preserve">HRD-177-26S052587</t>
        </is>
      </c>
      <c r="C172" s="7" t="inlineStr">
        <is>
          <t xml:space="preserve">AHL3NVDRX7_1</t>
        </is>
      </c>
      <c r="D172" s="19" t="inlineStr">
        <is>
          <t xml:space="preserve">W0172_BRCA1_E20</t>
        </is>
      </c>
      <c r="E172" s="2">
        <v>2746</v>
      </c>
      <c r="F172" s="20" t="inlineStr">
        <is>
          <t xml:space="preserve">+</t>
        </is>
      </c>
      <c r="G172" s="4">
        <v>0.902</v>
      </c>
      <c r="H172" s="2">
        <v>1893</v>
      </c>
      <c r="I172" s="9" t="inlineStr">
        <is>
          <t xml:space="preserve">+</t>
        </is>
      </c>
      <c r="J172" s="4">
        <v>0.854</v>
      </c>
    </row>
    <row r="173">
      <c r="A173" s="6" t="inlineStr">
        <is>
          <t xml:space="preserve">HRD-177-26S052587</t>
        </is>
      </c>
      <c r="B173" s="7" t="inlineStr">
        <is>
          <t xml:space="preserve">HRD-177-26S052587</t>
        </is>
      </c>
      <c r="C173" s="7" t="inlineStr">
        <is>
          <t xml:space="preserve">AHL3NVDRX7_1</t>
        </is>
      </c>
      <c r="D173" s="19" t="inlineStr">
        <is>
          <t xml:space="preserve">W0173_BRCA1_E19</t>
        </is>
      </c>
      <c r="E173" s="2">
        <v>3336</v>
      </c>
      <c r="F173" s="20" t="inlineStr">
        <is>
          <t xml:space="preserve">+</t>
        </is>
      </c>
      <c r="G173" s="4">
        <v>1.096</v>
      </c>
      <c r="H173" s="2">
        <v>2392</v>
      </c>
      <c r="I173" s="9" t="inlineStr">
        <is>
          <t xml:space="preserve">+</t>
        </is>
      </c>
      <c r="J173" s="4">
        <v>1.079</v>
      </c>
    </row>
    <row r="174">
      <c r="A174" s="6" t="inlineStr">
        <is>
          <t xml:space="preserve">HRD-177-26S052587</t>
        </is>
      </c>
      <c r="B174" s="7" t="inlineStr">
        <is>
          <t xml:space="preserve">HRD-177-26S052587</t>
        </is>
      </c>
      <c r="C174" s="7" t="inlineStr">
        <is>
          <t xml:space="preserve">AHL3NVDRX7_1</t>
        </is>
      </c>
      <c r="D174" s="19" t="inlineStr">
        <is>
          <t xml:space="preserve">W0174_BRCA1_E19</t>
        </is>
      </c>
      <c r="E174" s="2">
        <v>4309</v>
      </c>
      <c r="F174" s="20" t="inlineStr">
        <is>
          <t xml:space="preserve">+</t>
        </is>
      </c>
      <c r="G174" s="4">
        <v>1.416</v>
      </c>
      <c r="H174" s="2">
        <v>2955</v>
      </c>
      <c r="I174" s="9" t="inlineStr">
        <is>
          <t xml:space="preserve">+</t>
        </is>
      </c>
      <c r="J174" s="4">
        <v>1.333</v>
      </c>
    </row>
    <row r="175">
      <c r="A175" s="6" t="inlineStr">
        <is>
          <t xml:space="preserve">HRD-177-26S052587</t>
        </is>
      </c>
      <c r="B175" s="7" t="inlineStr">
        <is>
          <t xml:space="preserve">HRD-177-26S052587</t>
        </is>
      </c>
      <c r="C175" s="7" t="inlineStr">
        <is>
          <t xml:space="preserve">AHL3NVDRX7_1</t>
        </is>
      </c>
      <c r="D175" s="19" t="inlineStr">
        <is>
          <t xml:space="preserve">W0175_BRCA1_E18</t>
        </is>
      </c>
      <c r="E175" s="2">
        <v>3515</v>
      </c>
      <c r="F175" s="20" t="inlineStr">
        <is>
          <t xml:space="preserve">+</t>
        </is>
      </c>
      <c r="G175" s="4">
        <v>1.155</v>
      </c>
      <c r="H175" s="2">
        <v>2542</v>
      </c>
      <c r="I175" s="9" t="inlineStr">
        <is>
          <t xml:space="preserve">+</t>
        </is>
      </c>
      <c r="J175" s="4">
        <v>1.147</v>
      </c>
    </row>
    <row r="176">
      <c r="A176" s="6" t="inlineStr">
        <is>
          <t xml:space="preserve">HRD-177-26S052587</t>
        </is>
      </c>
      <c r="B176" s="7" t="inlineStr">
        <is>
          <t xml:space="preserve">HRD-177-26S052587</t>
        </is>
      </c>
      <c r="C176" s="7" t="inlineStr">
        <is>
          <t xml:space="preserve">AHL3NVDRX7_1</t>
        </is>
      </c>
      <c r="D176" s="19" t="inlineStr">
        <is>
          <t xml:space="preserve">W0176_BRCA1_E18</t>
        </is>
      </c>
      <c r="E176" s="2">
        <v>5283</v>
      </c>
      <c r="F176" s="20" t="inlineStr">
        <is>
          <t xml:space="preserve">+</t>
        </is>
      </c>
      <c r="G176" s="4">
        <v>1.736</v>
      </c>
      <c r="H176" s="2">
        <v>3712</v>
      </c>
      <c r="I176" s="9" t="inlineStr">
        <is>
          <t xml:space="preserve">+</t>
        </is>
      </c>
      <c r="J176" s="4">
        <v>1.675</v>
      </c>
    </row>
    <row r="177">
      <c r="A177" s="6" t="inlineStr">
        <is>
          <t xml:space="preserve">HRD-177-26S052587</t>
        </is>
      </c>
      <c r="B177" s="7" t="inlineStr">
        <is>
          <t xml:space="preserve">HRD-177-26S052587</t>
        </is>
      </c>
      <c r="C177" s="7" t="inlineStr">
        <is>
          <t xml:space="preserve">AHL3NVDRX7_1</t>
        </is>
      </c>
      <c r="D177" s="19" t="inlineStr">
        <is>
          <t xml:space="preserve">W0177_BRCA1_E17</t>
        </is>
      </c>
      <c r="E177" s="2">
        <v>2552</v>
      </c>
      <c r="F177" s="20" t="inlineStr">
        <is>
          <t xml:space="preserve">+</t>
        </is>
      </c>
      <c r="G177" s="4">
        <v>0.839</v>
      </c>
      <c r="H177" s="2">
        <v>1837</v>
      </c>
      <c r="I177" s="9" t="inlineStr">
        <is>
          <t xml:space="preserve">+</t>
        </is>
      </c>
      <c r="J177" s="4">
        <v>0.829</v>
      </c>
    </row>
    <row r="178">
      <c r="A178" s="6" t="inlineStr">
        <is>
          <t xml:space="preserve">HRD-177-26S052587</t>
        </is>
      </c>
      <c r="B178" s="7" t="inlineStr">
        <is>
          <t xml:space="preserve">HRD-177-26S052587</t>
        </is>
      </c>
      <c r="C178" s="7" t="inlineStr">
        <is>
          <t xml:space="preserve">AHL3NVDRX7_1</t>
        </is>
      </c>
      <c r="D178" s="19" t="inlineStr">
        <is>
          <t xml:space="preserve">W0178_BRCA1_E17</t>
        </is>
      </c>
      <c r="E178" s="2">
        <v>2898</v>
      </c>
      <c r="F178" s="20" t="inlineStr">
        <is>
          <t xml:space="preserve">+</t>
        </is>
      </c>
      <c r="G178" s="4">
        <v>0.952</v>
      </c>
      <c r="H178" s="2">
        <v>2082</v>
      </c>
      <c r="I178" s="9" t="inlineStr">
        <is>
          <t xml:space="preserve">+</t>
        </is>
      </c>
      <c r="J178" s="4">
        <v>0.939</v>
      </c>
    </row>
    <row r="179">
      <c r="A179" s="6" t="inlineStr">
        <is>
          <t xml:space="preserve">HRD-177-26S052587</t>
        </is>
      </c>
      <c r="B179" s="7" t="inlineStr">
        <is>
          <t xml:space="preserve">HRD-177-26S052587</t>
        </is>
      </c>
      <c r="C179" s="7" t="inlineStr">
        <is>
          <t xml:space="preserve">AHL3NVDRX7_1</t>
        </is>
      </c>
      <c r="D179" s="19" t="inlineStr">
        <is>
          <t xml:space="preserve">W0179_BRCA1_E16</t>
        </is>
      </c>
      <c r="E179" s="2">
        <v>3643</v>
      </c>
      <c r="F179" s="20" t="inlineStr">
        <is>
          <t xml:space="preserve">+</t>
        </is>
      </c>
      <c r="G179" s="4">
        <v>1.197</v>
      </c>
      <c r="H179" s="2">
        <v>2548</v>
      </c>
      <c r="I179" s="9" t="inlineStr">
        <is>
          <t xml:space="preserve">+</t>
        </is>
      </c>
      <c r="J179" s="4">
        <v>1.149</v>
      </c>
    </row>
    <row r="180">
      <c r="A180" s="6" t="inlineStr">
        <is>
          <t xml:space="preserve">HRD-177-26S052587</t>
        </is>
      </c>
      <c r="B180" s="7" t="inlineStr">
        <is>
          <t xml:space="preserve">HRD-177-26S052587</t>
        </is>
      </c>
      <c r="C180" s="7" t="inlineStr">
        <is>
          <t xml:space="preserve">AHL3NVDRX7_1</t>
        </is>
      </c>
      <c r="D180" s="19" t="inlineStr">
        <is>
          <t xml:space="preserve">W0180_BRCA1_E16</t>
        </is>
      </c>
      <c r="E180" s="2">
        <v>3871</v>
      </c>
      <c r="F180" s="20" t="inlineStr">
        <is>
          <t xml:space="preserve">+</t>
        </is>
      </c>
      <c r="G180" s="4">
        <v>1.272</v>
      </c>
      <c r="H180" s="2">
        <v>2764</v>
      </c>
      <c r="I180" s="9" t="inlineStr">
        <is>
          <t xml:space="preserve">+</t>
        </is>
      </c>
      <c r="J180" s="4">
        <v>1.247</v>
      </c>
    </row>
    <row r="181">
      <c r="A181" s="6" t="inlineStr">
        <is>
          <t xml:space="preserve">HRD-177-26S052587</t>
        </is>
      </c>
      <c r="B181" s="7" t="inlineStr">
        <is>
          <t xml:space="preserve">HRD-177-26S052587</t>
        </is>
      </c>
      <c r="C181" s="7" t="inlineStr">
        <is>
          <t xml:space="preserve">AHL3NVDRX7_1</t>
        </is>
      </c>
      <c r="D181" s="19" t="inlineStr">
        <is>
          <t xml:space="preserve">W0181_BRCA1_E16</t>
        </is>
      </c>
      <c r="E181" s="2">
        <v>4079</v>
      </c>
      <c r="F181" s="20" t="inlineStr">
        <is>
          <t xml:space="preserve">+</t>
        </is>
      </c>
      <c r="G181" s="4">
        <v>1.341</v>
      </c>
      <c r="H181" s="2">
        <v>2835</v>
      </c>
      <c r="I181" s="9" t="inlineStr">
        <is>
          <t xml:space="preserve">+</t>
        </is>
      </c>
      <c r="J181" s="4">
        <v>1.279</v>
      </c>
    </row>
    <row r="182">
      <c r="A182" s="6" t="inlineStr">
        <is>
          <t xml:space="preserve">HRD-177-26S052587</t>
        </is>
      </c>
      <c r="B182" s="7" t="inlineStr">
        <is>
          <t xml:space="preserve">HRD-177-26S052587</t>
        </is>
      </c>
      <c r="C182" s="7" t="inlineStr">
        <is>
          <t xml:space="preserve">AHL3NVDRX7_1</t>
        </is>
      </c>
      <c r="D182" s="19" t="inlineStr">
        <is>
          <t xml:space="preserve">W0182_BRCA1_E16</t>
        </is>
      </c>
      <c r="E182" s="2">
        <v>2161</v>
      </c>
      <c r="F182" s="20" t="inlineStr">
        <is>
          <t xml:space="preserve">+</t>
        </is>
      </c>
      <c r="G182" s="4">
        <v>0.71</v>
      </c>
      <c r="H182" s="2">
        <v>1665</v>
      </c>
      <c r="I182" s="9" t="inlineStr">
        <is>
          <t xml:space="preserve">+</t>
        </is>
      </c>
      <c r="J182" s="4">
        <v>0.751</v>
      </c>
    </row>
    <row r="183">
      <c r="A183" s="6" t="inlineStr">
        <is>
          <t xml:space="preserve">HRD-177-26S052587</t>
        </is>
      </c>
      <c r="B183" s="7" t="inlineStr">
        <is>
          <t xml:space="preserve">HRD-177-26S052587</t>
        </is>
      </c>
      <c r="C183" s="7" t="inlineStr">
        <is>
          <t xml:space="preserve">AHL3NVDRX7_1</t>
        </is>
      </c>
      <c r="D183" s="19" t="inlineStr">
        <is>
          <t xml:space="preserve">W0183_BRCA1_E15</t>
        </is>
      </c>
      <c r="E183" s="2">
        <v>4289</v>
      </c>
      <c r="F183" s="20" t="inlineStr">
        <is>
          <t xml:space="preserve">+</t>
        </is>
      </c>
      <c r="G183" s="4">
        <v>1.41</v>
      </c>
      <c r="H183" s="2">
        <v>2831</v>
      </c>
      <c r="I183" s="9" t="inlineStr">
        <is>
          <t xml:space="preserve">+</t>
        </is>
      </c>
      <c r="J183" s="4">
        <v>1.277</v>
      </c>
    </row>
    <row r="184">
      <c r="A184" s="6" t="inlineStr">
        <is>
          <t xml:space="preserve">HRD-177-26S052587</t>
        </is>
      </c>
      <c r="B184" s="7" t="inlineStr">
        <is>
          <t xml:space="preserve">HRD-177-26S052587</t>
        </is>
      </c>
      <c r="C184" s="7" t="inlineStr">
        <is>
          <t xml:space="preserve">AHL3NVDRX7_1</t>
        </is>
      </c>
      <c r="D184" s="19" t="inlineStr">
        <is>
          <t xml:space="preserve">W0184_BRCA1_E15</t>
        </is>
      </c>
      <c r="E184" s="2">
        <v>4057</v>
      </c>
      <c r="F184" s="20" t="inlineStr">
        <is>
          <t xml:space="preserve">+</t>
        </is>
      </c>
      <c r="G184" s="4">
        <v>1.333</v>
      </c>
      <c r="H184" s="2">
        <v>2832</v>
      </c>
      <c r="I184" s="9" t="inlineStr">
        <is>
          <t xml:space="preserve">+</t>
        </is>
      </c>
      <c r="J184" s="4">
        <v>1.278</v>
      </c>
    </row>
    <row r="185">
      <c r="A185" s="6" t="inlineStr">
        <is>
          <t xml:space="preserve">HRD-177-26S052587</t>
        </is>
      </c>
      <c r="B185" s="7" t="inlineStr">
        <is>
          <t xml:space="preserve">HRD-177-26S052587</t>
        </is>
      </c>
      <c r="C185" s="7" t="inlineStr">
        <is>
          <t xml:space="preserve">AHL3NVDRX7_1</t>
        </is>
      </c>
      <c r="D185" s="19" t="inlineStr">
        <is>
          <t xml:space="preserve">W0185_BRCA1_E15</t>
        </is>
      </c>
      <c r="E185" s="2">
        <v>3239</v>
      </c>
      <c r="F185" s="20" t="inlineStr">
        <is>
          <t xml:space="preserve">+</t>
        </is>
      </c>
      <c r="G185" s="4">
        <v>1.064</v>
      </c>
      <c r="H185" s="2">
        <v>2352</v>
      </c>
      <c r="I185" s="9" t="inlineStr">
        <is>
          <t xml:space="preserve">+</t>
        </is>
      </c>
      <c r="J185" s="4">
        <v>1.061</v>
      </c>
    </row>
    <row r="186">
      <c r="A186" s="6" t="inlineStr">
        <is>
          <t xml:space="preserve">HRD-177-26S052587</t>
        </is>
      </c>
      <c r="B186" s="7" t="inlineStr">
        <is>
          <t xml:space="preserve">HRD-177-26S052587</t>
        </is>
      </c>
      <c r="C186" s="7" t="inlineStr">
        <is>
          <t xml:space="preserve">AHL3NVDRX7_1</t>
        </is>
      </c>
      <c r="D186" s="19" t="inlineStr">
        <is>
          <t xml:space="preserve">W0186_BRCA1_E14</t>
        </is>
      </c>
      <c r="E186" s="2">
        <v>5082</v>
      </c>
      <c r="F186" s="20" t="inlineStr">
        <is>
          <t xml:space="preserve">+</t>
        </is>
      </c>
      <c r="G186" s="4">
        <v>1.67</v>
      </c>
      <c r="H186" s="2">
        <v>3567</v>
      </c>
      <c r="I186" s="9" t="inlineStr">
        <is>
          <t xml:space="preserve">+</t>
        </is>
      </c>
      <c r="J186" s="4">
        <v>1.609</v>
      </c>
    </row>
    <row r="187">
      <c r="A187" s="6" t="inlineStr">
        <is>
          <t xml:space="preserve">HRD-177-26S052587</t>
        </is>
      </c>
      <c r="B187" s="7" t="inlineStr">
        <is>
          <t xml:space="preserve">HRD-177-26S052587</t>
        </is>
      </c>
      <c r="C187" s="7" t="inlineStr">
        <is>
          <t xml:space="preserve">AHL3NVDRX7_1</t>
        </is>
      </c>
      <c r="D187" s="19" t="inlineStr">
        <is>
          <t xml:space="preserve">W0187_BRCA1_E14</t>
        </is>
      </c>
      <c r="E187" s="2">
        <v>3072</v>
      </c>
      <c r="F187" s="20" t="inlineStr">
        <is>
          <t xml:space="preserve">+</t>
        </is>
      </c>
      <c r="G187" s="4">
        <v>1.01</v>
      </c>
      <c r="H187" s="2">
        <v>2283</v>
      </c>
      <c r="I187" s="9" t="inlineStr">
        <is>
          <t xml:space="preserve">+</t>
        </is>
      </c>
      <c r="J187" s="4">
        <v>1.03</v>
      </c>
    </row>
    <row r="188">
      <c r="A188" s="6" t="inlineStr">
        <is>
          <t xml:space="preserve">HRD-177-26S052587</t>
        </is>
      </c>
      <c r="B188" s="7" t="inlineStr">
        <is>
          <t xml:space="preserve">HRD-177-26S052587</t>
        </is>
      </c>
      <c r="C188" s="7" t="inlineStr">
        <is>
          <t xml:space="preserve">AHL3NVDRX7_1</t>
        </is>
      </c>
      <c r="D188" s="19" t="inlineStr">
        <is>
          <t xml:space="preserve">W0188_BRCA1_E13</t>
        </is>
      </c>
      <c r="E188" s="2">
        <v>3326</v>
      </c>
      <c r="F188" s="20" t="inlineStr">
        <is>
          <t xml:space="preserve">+</t>
        </is>
      </c>
      <c r="G188" s="4">
        <v>1.093</v>
      </c>
      <c r="H188" s="2">
        <v>2350</v>
      </c>
      <c r="I188" s="9" t="inlineStr">
        <is>
          <t xml:space="preserve">+</t>
        </is>
      </c>
      <c r="J188" s="4">
        <v>1.06</v>
      </c>
    </row>
    <row r="189">
      <c r="A189" s="6" t="inlineStr">
        <is>
          <t xml:space="preserve">HRD-177-26S052587</t>
        </is>
      </c>
      <c r="B189" s="7" t="inlineStr">
        <is>
          <t xml:space="preserve">HRD-177-26S052587</t>
        </is>
      </c>
      <c r="C189" s="7" t="inlineStr">
        <is>
          <t xml:space="preserve">AHL3NVDRX7_1</t>
        </is>
      </c>
      <c r="D189" s="19" t="inlineStr">
        <is>
          <t xml:space="preserve">W0189_BRCA1_E13</t>
        </is>
      </c>
      <c r="E189" s="2">
        <v>3777</v>
      </c>
      <c r="F189" s="20" t="inlineStr">
        <is>
          <t xml:space="preserve">+</t>
        </is>
      </c>
      <c r="G189" s="4">
        <v>1.241</v>
      </c>
      <c r="H189" s="2">
        <v>2577</v>
      </c>
      <c r="I189" s="9" t="inlineStr">
        <is>
          <t xml:space="preserve">+</t>
        </is>
      </c>
      <c r="J189" s="4">
        <v>1.163</v>
      </c>
    </row>
    <row r="190">
      <c r="A190" s="6" t="inlineStr">
        <is>
          <t xml:space="preserve">HRD-177-26S052587</t>
        </is>
      </c>
      <c r="B190" s="7" t="inlineStr">
        <is>
          <t xml:space="preserve">HRD-177-26S052587</t>
        </is>
      </c>
      <c r="C190" s="7" t="inlineStr">
        <is>
          <t xml:space="preserve">AHL3NVDRX7_1</t>
        </is>
      </c>
      <c r="D190" s="19" t="inlineStr">
        <is>
          <t xml:space="preserve">W0190_BRCA1_E13</t>
        </is>
      </c>
      <c r="E190" s="2">
        <v>3391</v>
      </c>
      <c r="F190" s="20" t="inlineStr">
        <is>
          <t xml:space="preserve">+</t>
        </is>
      </c>
      <c r="G190" s="4">
        <v>1.114</v>
      </c>
      <c r="H190" s="2">
        <v>2422</v>
      </c>
      <c r="I190" s="9" t="inlineStr">
        <is>
          <t xml:space="preserve">+</t>
        </is>
      </c>
      <c r="J190" s="4">
        <v>1.093</v>
      </c>
    </row>
    <row r="191">
      <c r="A191" s="6" t="inlineStr">
        <is>
          <t xml:space="preserve">HRD-177-26S052587</t>
        </is>
      </c>
      <c r="B191" s="7" t="inlineStr">
        <is>
          <t xml:space="preserve">HRD-177-26S052587</t>
        </is>
      </c>
      <c r="C191" s="7" t="inlineStr">
        <is>
          <t xml:space="preserve">AHL3NVDRX7_1</t>
        </is>
      </c>
      <c r="D191" s="19" t="inlineStr">
        <is>
          <t xml:space="preserve">W0191_BRCA1_E12</t>
        </is>
      </c>
      <c r="E191" s="2">
        <v>5543</v>
      </c>
      <c r="F191" s="20" t="inlineStr">
        <is>
          <t xml:space="preserve">+</t>
        </is>
      </c>
      <c r="G191" s="4">
        <v>1.822</v>
      </c>
      <c r="H191" s="2">
        <v>3598</v>
      </c>
      <c r="I191" s="9" t="inlineStr">
        <is>
          <t xml:space="preserve">+</t>
        </is>
      </c>
      <c r="J191" s="4">
        <v>1.623</v>
      </c>
    </row>
    <row r="192">
      <c r="A192" s="6" t="inlineStr">
        <is>
          <t xml:space="preserve">HRD-177-26S052587</t>
        </is>
      </c>
      <c r="B192" s="7" t="inlineStr">
        <is>
          <t xml:space="preserve">HRD-177-26S052587</t>
        </is>
      </c>
      <c r="C192" s="7" t="inlineStr">
        <is>
          <t xml:space="preserve">AHL3NVDRX7_1</t>
        </is>
      </c>
      <c r="D192" s="19" t="inlineStr">
        <is>
          <t xml:space="preserve">W0192_BRCA1_E12</t>
        </is>
      </c>
      <c r="E192" s="2">
        <v>3268</v>
      </c>
      <c r="F192" s="20" t="inlineStr">
        <is>
          <t xml:space="preserve">+</t>
        </is>
      </c>
      <c r="G192" s="4">
        <v>1.074</v>
      </c>
      <c r="H192" s="2">
        <v>2426</v>
      </c>
      <c r="I192" s="9" t="inlineStr">
        <is>
          <t xml:space="preserve">+</t>
        </is>
      </c>
      <c r="J192" s="4">
        <v>1.094</v>
      </c>
    </row>
    <row r="193">
      <c r="A193" s="6" t="inlineStr">
        <is>
          <t xml:space="preserve">HRD-177-26S052587</t>
        </is>
      </c>
      <c r="B193" s="7" t="inlineStr">
        <is>
          <t xml:space="preserve">HRD-177-26S052587</t>
        </is>
      </c>
      <c r="C193" s="7" t="inlineStr">
        <is>
          <t xml:space="preserve">AHL3NVDRX7_1</t>
        </is>
      </c>
      <c r="D193" s="19" t="inlineStr">
        <is>
          <t xml:space="preserve">W0193_BRCA1_E11</t>
        </is>
      </c>
      <c r="E193" s="2">
        <v>1988</v>
      </c>
      <c r="F193" s="20" t="inlineStr">
        <is>
          <t xml:space="preserve">+</t>
        </is>
      </c>
      <c r="G193" s="4">
        <v>0.653</v>
      </c>
      <c r="H193" s="2">
        <v>1492</v>
      </c>
      <c r="I193" s="9" t="inlineStr">
        <is>
          <t xml:space="preserve">+</t>
        </is>
      </c>
      <c r="J193" s="4">
        <v>0.673</v>
      </c>
    </row>
    <row r="194">
      <c r="A194" s="6" t="inlineStr">
        <is>
          <t xml:space="preserve">HRD-177-26S052587</t>
        </is>
      </c>
      <c r="B194" s="7" t="inlineStr">
        <is>
          <t xml:space="preserve">HRD-177-26S052587</t>
        </is>
      </c>
      <c r="C194" s="7" t="inlineStr">
        <is>
          <t xml:space="preserve">AHL3NVDRX7_1</t>
        </is>
      </c>
      <c r="D194" s="19" t="inlineStr">
        <is>
          <t xml:space="preserve">W0194_BRCA1_E11</t>
        </is>
      </c>
      <c r="E194" s="2">
        <v>3697</v>
      </c>
      <c r="F194" s="20" t="inlineStr">
        <is>
          <t xml:space="preserve">+</t>
        </is>
      </c>
      <c r="G194" s="4">
        <v>1.215</v>
      </c>
      <c r="H194" s="2">
        <v>2646</v>
      </c>
      <c r="I194" s="9" t="inlineStr">
        <is>
          <t xml:space="preserve">+</t>
        </is>
      </c>
      <c r="J194" s="4">
        <v>1.194</v>
      </c>
    </row>
    <row r="195">
      <c r="A195" s="6" t="inlineStr">
        <is>
          <t xml:space="preserve">HRD-177-26S052587</t>
        </is>
      </c>
      <c r="B195" s="7" t="inlineStr">
        <is>
          <t xml:space="preserve">HRD-177-26S052587</t>
        </is>
      </c>
      <c r="C195" s="7" t="inlineStr">
        <is>
          <t xml:space="preserve">AHL3NVDRX7_1</t>
        </is>
      </c>
      <c r="D195" s="19" t="inlineStr">
        <is>
          <t xml:space="preserve">W0195_BRCA1_E11</t>
        </is>
      </c>
      <c r="E195" s="2">
        <v>3521</v>
      </c>
      <c r="F195" s="20" t="inlineStr">
        <is>
          <t xml:space="preserve">+</t>
        </is>
      </c>
      <c r="G195" s="4">
        <v>1.157</v>
      </c>
      <c r="H195" s="2">
        <v>2572</v>
      </c>
      <c r="I195" s="9" t="inlineStr">
        <is>
          <t xml:space="preserve">+</t>
        </is>
      </c>
      <c r="J195" s="4">
        <v>1.16</v>
      </c>
    </row>
    <row r="196">
      <c r="A196" s="6" t="inlineStr">
        <is>
          <t xml:space="preserve">HRD-177-26S052587</t>
        </is>
      </c>
      <c r="B196" s="7" t="inlineStr">
        <is>
          <t xml:space="preserve">HRD-177-26S052587</t>
        </is>
      </c>
      <c r="C196" s="7" t="inlineStr">
        <is>
          <t xml:space="preserve">AHL3NVDRX7_1</t>
        </is>
      </c>
      <c r="D196" s="19" t="inlineStr">
        <is>
          <t xml:space="preserve">W0196_BRCA1_E11</t>
        </is>
      </c>
      <c r="E196" s="2">
        <v>2787</v>
      </c>
      <c r="F196" s="20" t="inlineStr">
        <is>
          <t xml:space="preserve">+</t>
        </is>
      </c>
      <c r="G196" s="4">
        <v>0.916</v>
      </c>
      <c r="H196" s="2">
        <v>2056</v>
      </c>
      <c r="I196" s="9" t="inlineStr">
        <is>
          <t xml:space="preserve">+</t>
        </is>
      </c>
      <c r="J196" s="4">
        <v>0.928</v>
      </c>
    </row>
    <row r="197">
      <c r="A197" s="6" t="inlineStr">
        <is>
          <t xml:space="preserve">HRD-177-26S052587</t>
        </is>
      </c>
      <c r="B197" s="7" t="inlineStr">
        <is>
          <t xml:space="preserve">HRD-177-26S052587</t>
        </is>
      </c>
      <c r="C197" s="7" t="inlineStr">
        <is>
          <t xml:space="preserve">AHL3NVDRX7_1</t>
        </is>
      </c>
      <c r="D197" s="19" t="inlineStr">
        <is>
          <t xml:space="preserve">W0197_BRCA1_E11</t>
        </is>
      </c>
      <c r="E197" s="2">
        <v>2818</v>
      </c>
      <c r="F197" s="20" t="inlineStr">
        <is>
          <t xml:space="preserve">+</t>
        </is>
      </c>
      <c r="G197" s="4">
        <v>0.926</v>
      </c>
      <c r="H197" s="2">
        <v>2059</v>
      </c>
      <c r="I197" s="9" t="inlineStr">
        <is>
          <t xml:space="preserve">+</t>
        </is>
      </c>
      <c r="J197" s="4">
        <v>0.929</v>
      </c>
    </row>
    <row r="198">
      <c r="A198" s="6" t="inlineStr">
        <is>
          <t xml:space="preserve">HRD-177-26S052587</t>
        </is>
      </c>
      <c r="B198" s="7" t="inlineStr">
        <is>
          <t xml:space="preserve">HRD-177-26S052587</t>
        </is>
      </c>
      <c r="C198" s="7" t="inlineStr">
        <is>
          <t xml:space="preserve">AHL3NVDRX7_1</t>
        </is>
      </c>
      <c r="D198" s="19" t="inlineStr">
        <is>
          <t xml:space="preserve">W0198_BRCA1_E11</t>
        </is>
      </c>
      <c r="E198" s="2">
        <v>3403</v>
      </c>
      <c r="F198" s="20" t="inlineStr">
        <is>
          <t xml:space="preserve">+</t>
        </is>
      </c>
      <c r="G198" s="4">
        <v>1.118</v>
      </c>
      <c r="H198" s="2">
        <v>2531</v>
      </c>
      <c r="I198" s="9" t="inlineStr">
        <is>
          <t xml:space="preserve">+</t>
        </is>
      </c>
      <c r="J198" s="4">
        <v>1.142</v>
      </c>
    </row>
    <row r="199">
      <c r="A199" s="6" t="inlineStr">
        <is>
          <t xml:space="preserve">HRD-177-26S052587</t>
        </is>
      </c>
      <c r="B199" s="7" t="inlineStr">
        <is>
          <t xml:space="preserve">HRD-177-26S052587</t>
        </is>
      </c>
      <c r="C199" s="7" t="inlineStr">
        <is>
          <t xml:space="preserve">AHL3NVDRX7_1</t>
        </is>
      </c>
      <c r="D199" s="19" t="inlineStr">
        <is>
          <t xml:space="preserve">W0199_BRCA1_E11</t>
        </is>
      </c>
      <c r="E199" s="2">
        <v>2611</v>
      </c>
      <c r="F199" s="20" t="inlineStr">
        <is>
          <t xml:space="preserve">+</t>
        </is>
      </c>
      <c r="G199" s="4">
        <v>0.858</v>
      </c>
      <c r="H199" s="2">
        <v>1891</v>
      </c>
      <c r="I199" s="9" t="inlineStr">
        <is>
          <t xml:space="preserve">+</t>
        </is>
      </c>
      <c r="J199" s="4">
        <v>0.853</v>
      </c>
    </row>
    <row r="200">
      <c r="A200" s="6" t="inlineStr">
        <is>
          <t xml:space="preserve">HRD-177-26S052587</t>
        </is>
      </c>
      <c r="B200" s="7" t="inlineStr">
        <is>
          <t xml:space="preserve">HRD-177-26S052587</t>
        </is>
      </c>
      <c r="C200" s="7" t="inlineStr">
        <is>
          <t xml:space="preserve">AHL3NVDRX7_1</t>
        </is>
      </c>
      <c r="D200" s="19" t="inlineStr">
        <is>
          <t xml:space="preserve">W0200_BRCA1_E11</t>
        </is>
      </c>
      <c r="E200" s="2">
        <v>3075</v>
      </c>
      <c r="F200" s="20" t="inlineStr">
        <is>
          <t xml:space="preserve">+</t>
        </is>
      </c>
      <c r="G200" s="4">
        <v>1.011</v>
      </c>
      <c r="H200" s="2">
        <v>2254</v>
      </c>
      <c r="I200" s="9" t="inlineStr">
        <is>
          <t xml:space="preserve">+</t>
        </is>
      </c>
      <c r="J200" s="4">
        <v>1.017</v>
      </c>
    </row>
    <row r="201">
      <c r="A201" s="6" t="inlineStr">
        <is>
          <t xml:space="preserve">HRD-177-26S052587</t>
        </is>
      </c>
      <c r="B201" s="7" t="inlineStr">
        <is>
          <t xml:space="preserve">HRD-177-26S052587</t>
        </is>
      </c>
      <c r="C201" s="7" t="inlineStr">
        <is>
          <t xml:space="preserve">AHL3NVDRX7_1</t>
        </is>
      </c>
      <c r="D201" s="19" t="inlineStr">
        <is>
          <t xml:space="preserve">W0201_BRCA1_E11</t>
        </is>
      </c>
      <c r="E201" s="2">
        <v>1759</v>
      </c>
      <c r="F201" s="20" t="inlineStr">
        <is>
          <t xml:space="preserve">+</t>
        </is>
      </c>
      <c r="G201" s="4">
        <v>0.578</v>
      </c>
      <c r="H201" s="2">
        <v>1364</v>
      </c>
      <c r="I201" s="9" t="inlineStr">
        <is>
          <t xml:space="preserve">+</t>
        </is>
      </c>
      <c r="J201" s="4">
        <v>0.615</v>
      </c>
    </row>
    <row r="202">
      <c r="A202" s="6" t="inlineStr">
        <is>
          <t xml:space="preserve">HRD-177-26S052587</t>
        </is>
      </c>
      <c r="B202" s="7" t="inlineStr">
        <is>
          <t xml:space="preserve">HRD-177-26S052587</t>
        </is>
      </c>
      <c r="C202" s="7" t="inlineStr">
        <is>
          <t xml:space="preserve">AHL3NVDRX7_1</t>
        </is>
      </c>
      <c r="D202" s="19" t="inlineStr">
        <is>
          <t xml:space="preserve">W0202_BRCA1_E11</t>
        </is>
      </c>
      <c r="E202" s="2">
        <v>2428</v>
      </c>
      <c r="F202" s="20" t="inlineStr">
        <is>
          <t xml:space="preserve">+</t>
        </is>
      </c>
      <c r="G202" s="4">
        <v>0.798</v>
      </c>
      <c r="H202" s="2">
        <v>1878</v>
      </c>
      <c r="I202" s="9" t="inlineStr">
        <is>
          <t xml:space="preserve">+</t>
        </is>
      </c>
      <c r="J202" s="4">
        <v>0.847</v>
      </c>
    </row>
    <row r="203">
      <c r="A203" s="6" t="inlineStr">
        <is>
          <t xml:space="preserve">HRD-177-26S052587</t>
        </is>
      </c>
      <c r="B203" s="7" t="inlineStr">
        <is>
          <t xml:space="preserve">HRD-177-26S052587</t>
        </is>
      </c>
      <c r="C203" s="7" t="inlineStr">
        <is>
          <t xml:space="preserve">AHL3NVDRX7_1</t>
        </is>
      </c>
      <c r="D203" s="19" t="inlineStr">
        <is>
          <t xml:space="preserve">W0203_BRCA1_E11</t>
        </is>
      </c>
      <c r="E203" s="2">
        <v>3007</v>
      </c>
      <c r="F203" s="20" t="inlineStr">
        <is>
          <t xml:space="preserve">+</t>
        </is>
      </c>
      <c r="G203" s="4">
        <v>0.988</v>
      </c>
      <c r="H203" s="2">
        <v>2214</v>
      </c>
      <c r="I203" s="9" t="inlineStr">
        <is>
          <t xml:space="preserve">+</t>
        </is>
      </c>
      <c r="J203" s="4">
        <v>0.999</v>
      </c>
    </row>
    <row r="204">
      <c r="A204" s="6" t="inlineStr">
        <is>
          <t xml:space="preserve">HRD-177-26S052587</t>
        </is>
      </c>
      <c r="B204" s="7" t="inlineStr">
        <is>
          <t xml:space="preserve">HRD-177-26S052587</t>
        </is>
      </c>
      <c r="C204" s="7" t="inlineStr">
        <is>
          <t xml:space="preserve">AHL3NVDRX7_1</t>
        </is>
      </c>
      <c r="D204" s="19" t="inlineStr">
        <is>
          <t xml:space="preserve">W0204_BRCA1_E11</t>
        </is>
      </c>
      <c r="E204" s="2">
        <v>2525</v>
      </c>
      <c r="F204" s="20" t="inlineStr">
        <is>
          <t xml:space="preserve">+</t>
        </is>
      </c>
      <c r="G204" s="4">
        <v>0.83</v>
      </c>
      <c r="H204" s="2">
        <v>1905</v>
      </c>
      <c r="I204" s="9" t="inlineStr">
        <is>
          <t xml:space="preserve">+</t>
        </is>
      </c>
      <c r="J204" s="4">
        <v>0.859</v>
      </c>
    </row>
    <row r="205">
      <c r="A205" s="6" t="inlineStr">
        <is>
          <t xml:space="preserve">HRD-177-26S052587</t>
        </is>
      </c>
      <c r="B205" s="7" t="inlineStr">
        <is>
          <t xml:space="preserve">HRD-177-26S052587</t>
        </is>
      </c>
      <c r="C205" s="7" t="inlineStr">
        <is>
          <t xml:space="preserve">AHL3NVDRX7_1</t>
        </is>
      </c>
      <c r="D205" s="19" t="inlineStr">
        <is>
          <t xml:space="preserve">W0205_BRCA1_E11</t>
        </is>
      </c>
      <c r="E205" s="2">
        <v>3443</v>
      </c>
      <c r="F205" s="20" t="inlineStr">
        <is>
          <t xml:space="preserve">+</t>
        </is>
      </c>
      <c r="G205" s="4">
        <v>1.132</v>
      </c>
      <c r="H205" s="2">
        <v>2533</v>
      </c>
      <c r="I205" s="9" t="inlineStr">
        <is>
          <t xml:space="preserve">+</t>
        </is>
      </c>
      <c r="J205" s="4">
        <v>1.143</v>
      </c>
    </row>
    <row r="206">
      <c r="A206" s="6" t="inlineStr">
        <is>
          <t xml:space="preserve">HRD-177-26S052587</t>
        </is>
      </c>
      <c r="B206" s="7" t="inlineStr">
        <is>
          <t xml:space="preserve">HRD-177-26S052587</t>
        </is>
      </c>
      <c r="C206" s="7" t="inlineStr">
        <is>
          <t xml:space="preserve">AHL3NVDRX7_1</t>
        </is>
      </c>
      <c r="D206" s="19" t="inlineStr">
        <is>
          <t xml:space="preserve">W0206_BRCA1_E11</t>
        </is>
      </c>
      <c r="E206" s="2">
        <v>3251</v>
      </c>
      <c r="F206" s="20" t="inlineStr">
        <is>
          <t xml:space="preserve">+</t>
        </is>
      </c>
      <c r="G206" s="4">
        <v>1.068</v>
      </c>
      <c r="H206" s="2">
        <v>2359</v>
      </c>
      <c r="I206" s="9" t="inlineStr">
        <is>
          <t xml:space="preserve">+</t>
        </is>
      </c>
      <c r="J206" s="4">
        <v>1.064</v>
      </c>
    </row>
    <row r="207">
      <c r="A207" s="6" t="inlineStr">
        <is>
          <t xml:space="preserve">HRD-177-26S052587</t>
        </is>
      </c>
      <c r="B207" s="7" t="inlineStr">
        <is>
          <t xml:space="preserve">HRD-177-26S052587</t>
        </is>
      </c>
      <c r="C207" s="7" t="inlineStr">
        <is>
          <t xml:space="preserve">AHL3NVDRX7_1</t>
        </is>
      </c>
      <c r="D207" s="19" t="inlineStr">
        <is>
          <t xml:space="preserve">W0207_BRCA1_E11</t>
        </is>
      </c>
      <c r="E207" s="2">
        <v>2516</v>
      </c>
      <c r="F207" s="20" t="inlineStr">
        <is>
          <t xml:space="preserve">+</t>
        </is>
      </c>
      <c r="G207" s="4">
        <v>0.827</v>
      </c>
      <c r="H207" s="2">
        <v>1896</v>
      </c>
      <c r="I207" s="9" t="inlineStr">
        <is>
          <t xml:space="preserve">+</t>
        </is>
      </c>
      <c r="J207" s="4">
        <v>0.855</v>
      </c>
    </row>
    <row r="208">
      <c r="A208" s="6" t="inlineStr">
        <is>
          <t xml:space="preserve">HRD-177-26S052587</t>
        </is>
      </c>
      <c r="B208" s="7" t="inlineStr">
        <is>
          <t xml:space="preserve">HRD-177-26S052587</t>
        </is>
      </c>
      <c r="C208" s="7" t="inlineStr">
        <is>
          <t xml:space="preserve">AHL3NVDRX7_1</t>
        </is>
      </c>
      <c r="D208" s="19" t="inlineStr">
        <is>
          <t xml:space="preserve">W0208_BRCA1_E11</t>
        </is>
      </c>
      <c r="E208" s="2">
        <v>3608</v>
      </c>
      <c r="F208" s="20" t="inlineStr">
        <is>
          <t xml:space="preserve">+</t>
        </is>
      </c>
      <c r="G208" s="4">
        <v>1.186</v>
      </c>
      <c r="H208" s="2">
        <v>2596</v>
      </c>
      <c r="I208" s="9" t="inlineStr">
        <is>
          <t xml:space="preserve">+</t>
        </is>
      </c>
      <c r="J208" s="4">
        <v>1.171</v>
      </c>
    </row>
    <row r="209">
      <c r="A209" s="6" t="inlineStr">
        <is>
          <t xml:space="preserve">HRD-177-26S052587</t>
        </is>
      </c>
      <c r="B209" s="7" t="inlineStr">
        <is>
          <t xml:space="preserve">HRD-177-26S052587</t>
        </is>
      </c>
      <c r="C209" s="7" t="inlineStr">
        <is>
          <t xml:space="preserve">AHL3NVDRX7_1</t>
        </is>
      </c>
      <c r="D209" s="19" t="inlineStr">
        <is>
          <t xml:space="preserve">W0209_BRCA1_E11</t>
        </is>
      </c>
      <c r="E209" s="2">
        <v>3451</v>
      </c>
      <c r="F209" s="20" t="inlineStr">
        <is>
          <t xml:space="preserve">+</t>
        </is>
      </c>
      <c r="G209" s="4">
        <v>1.134</v>
      </c>
      <c r="H209" s="2">
        <v>2532</v>
      </c>
      <c r="I209" s="9" t="inlineStr">
        <is>
          <t xml:space="preserve">+</t>
        </is>
      </c>
      <c r="J209" s="4">
        <v>1.142</v>
      </c>
    </row>
    <row r="210">
      <c r="A210" s="6" t="inlineStr">
        <is>
          <t xml:space="preserve">HRD-177-26S052587</t>
        </is>
      </c>
      <c r="B210" s="7" t="inlineStr">
        <is>
          <t xml:space="preserve">HRD-177-26S052587</t>
        </is>
      </c>
      <c r="C210" s="7" t="inlineStr">
        <is>
          <t xml:space="preserve">AHL3NVDRX7_1</t>
        </is>
      </c>
      <c r="D210" s="19" t="inlineStr">
        <is>
          <t xml:space="preserve">W0210_BRCA1_E11</t>
        </is>
      </c>
      <c r="E210" s="2">
        <v>4195</v>
      </c>
      <c r="F210" s="20" t="inlineStr">
        <is>
          <t xml:space="preserve">+</t>
        </is>
      </c>
      <c r="G210" s="4">
        <v>1.379</v>
      </c>
      <c r="H210" s="2">
        <v>3029</v>
      </c>
      <c r="I210" s="9" t="inlineStr">
        <is>
          <t xml:space="preserve">+</t>
        </is>
      </c>
      <c r="J210" s="4">
        <v>1.366</v>
      </c>
    </row>
    <row r="211">
      <c r="A211" s="6" t="inlineStr">
        <is>
          <t xml:space="preserve">HRD-177-26S052587</t>
        </is>
      </c>
      <c r="B211" s="7" t="inlineStr">
        <is>
          <t xml:space="preserve">HRD-177-26S052587</t>
        </is>
      </c>
      <c r="C211" s="7" t="inlineStr">
        <is>
          <t xml:space="preserve">AHL3NVDRX7_1</t>
        </is>
      </c>
      <c r="D211" s="19" t="inlineStr">
        <is>
          <t xml:space="preserve">W0211_BRCA1_E11</t>
        </is>
      </c>
      <c r="E211" s="2">
        <v>2755</v>
      </c>
      <c r="F211" s="20" t="inlineStr">
        <is>
          <t xml:space="preserve">+</t>
        </is>
      </c>
      <c r="G211" s="4">
        <v>0.905</v>
      </c>
      <c r="H211" s="2">
        <v>2059</v>
      </c>
      <c r="I211" s="9" t="inlineStr">
        <is>
          <t xml:space="preserve">+</t>
        </is>
      </c>
      <c r="J211" s="4">
        <v>0.929</v>
      </c>
    </row>
    <row r="212">
      <c r="A212" s="6" t="inlineStr">
        <is>
          <t xml:space="preserve">HRD-177-26S052587</t>
        </is>
      </c>
      <c r="B212" s="7" t="inlineStr">
        <is>
          <t xml:space="preserve">HRD-177-26S052587</t>
        </is>
      </c>
      <c r="C212" s="7" t="inlineStr">
        <is>
          <t xml:space="preserve">AHL3NVDRX7_1</t>
        </is>
      </c>
      <c r="D212" s="19" t="inlineStr">
        <is>
          <t xml:space="preserve">W0212_BRCA1_E11</t>
        </is>
      </c>
      <c r="E212" s="2">
        <v>2378</v>
      </c>
      <c r="F212" s="20" t="inlineStr">
        <is>
          <t xml:space="preserve">+</t>
        </is>
      </c>
      <c r="G212" s="4">
        <v>0.782</v>
      </c>
      <c r="H212" s="2">
        <v>1824</v>
      </c>
      <c r="I212" s="9" t="inlineStr">
        <is>
          <t xml:space="preserve">+</t>
        </is>
      </c>
      <c r="J212" s="4">
        <v>0.823</v>
      </c>
    </row>
    <row r="213">
      <c r="A213" s="6" t="inlineStr">
        <is>
          <t xml:space="preserve">HRD-177-26S052587</t>
        </is>
      </c>
      <c r="B213" s="7" t="inlineStr">
        <is>
          <t xml:space="preserve">HRD-177-26S052587</t>
        </is>
      </c>
      <c r="C213" s="7" t="inlineStr">
        <is>
          <t xml:space="preserve">AHL3NVDRX7_1</t>
        </is>
      </c>
      <c r="D213" s="19" t="inlineStr">
        <is>
          <t xml:space="preserve">W0213_BRCA1_E11</t>
        </is>
      </c>
      <c r="E213" s="2">
        <v>3553</v>
      </c>
      <c r="F213" s="20" t="inlineStr">
        <is>
          <t xml:space="preserve">+</t>
        </is>
      </c>
      <c r="G213" s="4">
        <v>1.168</v>
      </c>
      <c r="H213" s="2">
        <v>2591</v>
      </c>
      <c r="I213" s="9" t="inlineStr">
        <is>
          <t xml:space="preserve">+</t>
        </is>
      </c>
      <c r="J213" s="4">
        <v>1.169</v>
      </c>
    </row>
    <row r="214">
      <c r="A214" s="6" t="inlineStr">
        <is>
          <t xml:space="preserve">HRD-177-26S052587</t>
        </is>
      </c>
      <c r="B214" s="7" t="inlineStr">
        <is>
          <t xml:space="preserve">HRD-177-26S052587</t>
        </is>
      </c>
      <c r="C214" s="7" t="inlineStr">
        <is>
          <t xml:space="preserve">AHL3NVDRX7_1</t>
        </is>
      </c>
      <c r="D214" s="19" t="inlineStr">
        <is>
          <t xml:space="preserve">W0214_BRCA1_E11</t>
        </is>
      </c>
      <c r="E214" s="2">
        <v>4045</v>
      </c>
      <c r="F214" s="20" t="inlineStr">
        <is>
          <t xml:space="preserve">+</t>
        </is>
      </c>
      <c r="G214" s="4">
        <v>1.329</v>
      </c>
      <c r="H214" s="2">
        <v>2918</v>
      </c>
      <c r="I214" s="9" t="inlineStr">
        <is>
          <t xml:space="preserve">+</t>
        </is>
      </c>
      <c r="J214" s="4">
        <v>1.316</v>
      </c>
    </row>
    <row r="215">
      <c r="A215" s="6" t="inlineStr">
        <is>
          <t xml:space="preserve">HRD-177-26S052587</t>
        </is>
      </c>
      <c r="B215" s="7" t="inlineStr">
        <is>
          <t xml:space="preserve">HRD-177-26S052587</t>
        </is>
      </c>
      <c r="C215" s="7" t="inlineStr">
        <is>
          <t xml:space="preserve">AHL3NVDRX7_1</t>
        </is>
      </c>
      <c r="D215" s="19" t="inlineStr">
        <is>
          <t xml:space="preserve">W0215_BRCA1_E11</t>
        </is>
      </c>
      <c r="E215" s="2">
        <v>3021</v>
      </c>
      <c r="F215" s="20" t="inlineStr">
        <is>
          <t xml:space="preserve">+</t>
        </is>
      </c>
      <c r="G215" s="4">
        <v>0.993</v>
      </c>
      <c r="H215" s="2">
        <v>2226</v>
      </c>
      <c r="I215" s="9" t="inlineStr">
        <is>
          <t xml:space="preserve">+</t>
        </is>
      </c>
      <c r="J215" s="4">
        <v>1.004</v>
      </c>
    </row>
    <row r="216">
      <c r="A216" s="6" t="inlineStr">
        <is>
          <t xml:space="preserve">HRD-177-26S052587</t>
        </is>
      </c>
      <c r="B216" s="7" t="inlineStr">
        <is>
          <t xml:space="preserve">HRD-177-26S052587</t>
        </is>
      </c>
      <c r="C216" s="7" t="inlineStr">
        <is>
          <t xml:space="preserve">AHL3NVDRX7_1</t>
        </is>
      </c>
      <c r="D216" s="19" t="inlineStr">
        <is>
          <t xml:space="preserve">W0216_BRCA1_E11</t>
        </is>
      </c>
      <c r="E216" s="2">
        <v>2991</v>
      </c>
      <c r="F216" s="20" t="inlineStr">
        <is>
          <t xml:space="preserve">+</t>
        </is>
      </c>
      <c r="G216" s="4">
        <v>0.983</v>
      </c>
      <c r="H216" s="2">
        <v>2212</v>
      </c>
      <c r="I216" s="9" t="inlineStr">
        <is>
          <t xml:space="preserve">+</t>
        </is>
      </c>
      <c r="J216" s="4">
        <v>0.998</v>
      </c>
    </row>
    <row r="217">
      <c r="A217" s="6" t="inlineStr">
        <is>
          <t xml:space="preserve">HRD-177-26S052587</t>
        </is>
      </c>
      <c r="B217" s="7" t="inlineStr">
        <is>
          <t xml:space="preserve">HRD-177-26S052587</t>
        </is>
      </c>
      <c r="C217" s="7" t="inlineStr">
        <is>
          <t xml:space="preserve">AHL3NVDRX7_1</t>
        </is>
      </c>
      <c r="D217" s="19" t="inlineStr">
        <is>
          <t xml:space="preserve">W0217_BRCA1_E11</t>
        </is>
      </c>
      <c r="E217" s="2">
        <v>2297</v>
      </c>
      <c r="F217" s="20" t="inlineStr">
        <is>
          <t xml:space="preserve">+</t>
        </is>
      </c>
      <c r="G217" s="4">
        <v>0.755</v>
      </c>
      <c r="H217" s="2">
        <v>1747</v>
      </c>
      <c r="I217" s="9" t="inlineStr">
        <is>
          <t xml:space="preserve">+</t>
        </is>
      </c>
      <c r="J217" s="4">
        <v>0.788</v>
      </c>
    </row>
    <row r="218">
      <c r="A218" s="6" t="inlineStr">
        <is>
          <t xml:space="preserve">HRD-177-26S052587</t>
        </is>
      </c>
      <c r="B218" s="7" t="inlineStr">
        <is>
          <t xml:space="preserve">HRD-177-26S052587</t>
        </is>
      </c>
      <c r="C218" s="7" t="inlineStr">
        <is>
          <t xml:space="preserve">AHL3NVDRX7_1</t>
        </is>
      </c>
      <c r="D218" s="19" t="inlineStr">
        <is>
          <t xml:space="preserve">W0218_BRCA1_E11</t>
        </is>
      </c>
      <c r="E218" s="2">
        <v>2650</v>
      </c>
      <c r="F218" s="20" t="inlineStr">
        <is>
          <t xml:space="preserve">+</t>
        </is>
      </c>
      <c r="G218" s="4">
        <v>0.871</v>
      </c>
      <c r="H218" s="2">
        <v>1997</v>
      </c>
      <c r="I218" s="9" t="inlineStr">
        <is>
          <t xml:space="preserve">+</t>
        </is>
      </c>
      <c r="J218" s="4">
        <v>0.901</v>
      </c>
    </row>
    <row r="219">
      <c r="A219" s="6" t="inlineStr">
        <is>
          <t xml:space="preserve">HRD-177-26S052587</t>
        </is>
      </c>
      <c r="B219" s="7" t="inlineStr">
        <is>
          <t xml:space="preserve">HRD-177-26S052587</t>
        </is>
      </c>
      <c r="C219" s="7" t="inlineStr">
        <is>
          <t xml:space="preserve">AHL3NVDRX7_1</t>
        </is>
      </c>
      <c r="D219" s="19" t="inlineStr">
        <is>
          <t xml:space="preserve">W0219_BRCA1_E11</t>
        </is>
      </c>
      <c r="E219" s="2">
        <v>3481</v>
      </c>
      <c r="F219" s="20" t="inlineStr">
        <is>
          <t xml:space="preserve">+</t>
        </is>
      </c>
      <c r="G219" s="4">
        <v>1.144</v>
      </c>
      <c r="H219" s="2">
        <v>2616</v>
      </c>
      <c r="I219" s="9" t="inlineStr">
        <is>
          <t xml:space="preserve">+</t>
        </is>
      </c>
      <c r="J219" s="4">
        <v>1.18</v>
      </c>
    </row>
    <row r="220">
      <c r="A220" s="6" t="inlineStr">
        <is>
          <t xml:space="preserve">HRD-177-26S052587</t>
        </is>
      </c>
      <c r="B220" s="7" t="inlineStr">
        <is>
          <t xml:space="preserve">HRD-177-26S052587</t>
        </is>
      </c>
      <c r="C220" s="7" t="inlineStr">
        <is>
          <t xml:space="preserve">AHL3NVDRX7_1</t>
        </is>
      </c>
      <c r="D220" s="19" t="inlineStr">
        <is>
          <t xml:space="preserve">W0220_BRCA1_E11</t>
        </is>
      </c>
      <c r="E220" s="2">
        <v>2552</v>
      </c>
      <c r="F220" s="20" t="inlineStr">
        <is>
          <t xml:space="preserve">+</t>
        </is>
      </c>
      <c r="G220" s="4">
        <v>0.839</v>
      </c>
      <c r="H220" s="2">
        <v>1971</v>
      </c>
      <c r="I220" s="9" t="inlineStr">
        <is>
          <t xml:space="preserve">+</t>
        </is>
      </c>
      <c r="J220" s="4">
        <v>0.889</v>
      </c>
    </row>
    <row r="221">
      <c r="A221" s="6" t="inlineStr">
        <is>
          <t xml:space="preserve">HRD-177-26S052587</t>
        </is>
      </c>
      <c r="B221" s="7" t="inlineStr">
        <is>
          <t xml:space="preserve">HRD-177-26S052587</t>
        </is>
      </c>
      <c r="C221" s="7" t="inlineStr">
        <is>
          <t xml:space="preserve">AHL3NVDRX7_1</t>
        </is>
      </c>
      <c r="D221" s="19" t="inlineStr">
        <is>
          <t xml:space="preserve">W0221_BRCA1_E11</t>
        </is>
      </c>
      <c r="E221" s="2">
        <v>3439</v>
      </c>
      <c r="F221" s="20" t="inlineStr">
        <is>
          <t xml:space="preserve">+</t>
        </is>
      </c>
      <c r="G221" s="4">
        <v>1.13</v>
      </c>
      <c r="H221" s="2">
        <v>2547</v>
      </c>
      <c r="I221" s="9" t="inlineStr">
        <is>
          <t xml:space="preserve">+</t>
        </is>
      </c>
      <c r="J221" s="4">
        <v>1.149</v>
      </c>
    </row>
    <row r="222">
      <c r="A222" s="6" t="inlineStr">
        <is>
          <t xml:space="preserve">HRD-177-26S052587</t>
        </is>
      </c>
      <c r="B222" s="7" t="inlineStr">
        <is>
          <t xml:space="preserve">HRD-177-26S052587</t>
        </is>
      </c>
      <c r="C222" s="7" t="inlineStr">
        <is>
          <t xml:space="preserve">AHL3NVDRX7_1</t>
        </is>
      </c>
      <c r="D222" s="19" t="inlineStr">
        <is>
          <t xml:space="preserve">W0222_BRCA1_E11</t>
        </is>
      </c>
      <c r="E222" s="2">
        <v>3560</v>
      </c>
      <c r="F222" s="20" t="inlineStr">
        <is>
          <t xml:space="preserve">+</t>
        </is>
      </c>
      <c r="G222" s="4">
        <v>1.17</v>
      </c>
      <c r="H222" s="2">
        <v>2527</v>
      </c>
      <c r="I222" s="9" t="inlineStr">
        <is>
          <t xml:space="preserve">+</t>
        </is>
      </c>
      <c r="J222" s="4">
        <v>1.14</v>
      </c>
    </row>
    <row r="223">
      <c r="A223" s="6" t="inlineStr">
        <is>
          <t xml:space="preserve">HRD-177-26S052587</t>
        </is>
      </c>
      <c r="B223" s="7" t="inlineStr">
        <is>
          <t xml:space="preserve">HRD-177-26S052587</t>
        </is>
      </c>
      <c r="C223" s="7" t="inlineStr">
        <is>
          <t xml:space="preserve">AHL3NVDRX7_1</t>
        </is>
      </c>
      <c r="D223" s="19" t="inlineStr">
        <is>
          <t xml:space="preserve">W0223_BRCA1_E11</t>
        </is>
      </c>
      <c r="E223" s="2">
        <v>2863</v>
      </c>
      <c r="F223" s="20" t="inlineStr">
        <is>
          <t xml:space="preserve">+</t>
        </is>
      </c>
      <c r="G223" s="4">
        <v>0.941</v>
      </c>
      <c r="H223" s="2">
        <v>2103</v>
      </c>
      <c r="I223" s="9" t="inlineStr">
        <is>
          <t xml:space="preserve">+</t>
        </is>
      </c>
      <c r="J223" s="4">
        <v>0.949</v>
      </c>
    </row>
    <row r="224">
      <c r="A224" s="6" t="inlineStr">
        <is>
          <t xml:space="preserve">HRD-177-26S052587</t>
        </is>
      </c>
      <c r="B224" s="7" t="inlineStr">
        <is>
          <t xml:space="preserve">HRD-177-26S052587</t>
        </is>
      </c>
      <c r="C224" s="7" t="inlineStr">
        <is>
          <t xml:space="preserve">AHL3NVDRX7_1</t>
        </is>
      </c>
      <c r="D224" s="19" t="inlineStr">
        <is>
          <t xml:space="preserve">W0224_BRCA1_E11</t>
        </is>
      </c>
      <c r="E224" s="2">
        <v>3549</v>
      </c>
      <c r="F224" s="20" t="inlineStr">
        <is>
          <t xml:space="preserve">+</t>
        </is>
      </c>
      <c r="G224" s="4">
        <v>1.166</v>
      </c>
      <c r="H224" s="2">
        <v>2608</v>
      </c>
      <c r="I224" s="9" t="inlineStr">
        <is>
          <t xml:space="preserve">+</t>
        </is>
      </c>
      <c r="J224" s="4">
        <v>1.177</v>
      </c>
    </row>
    <row r="225">
      <c r="A225" s="6" t="inlineStr">
        <is>
          <t xml:space="preserve">HRD-177-26S052587</t>
        </is>
      </c>
      <c r="B225" s="7" t="inlineStr">
        <is>
          <t xml:space="preserve">HRD-177-26S052587</t>
        </is>
      </c>
      <c r="C225" s="7" t="inlineStr">
        <is>
          <t xml:space="preserve">AHL3NVDRX7_1</t>
        </is>
      </c>
      <c r="D225" s="19" t="inlineStr">
        <is>
          <t xml:space="preserve">W0225_BRCA1_E11</t>
        </is>
      </c>
      <c r="E225" s="2">
        <v>3339</v>
      </c>
      <c r="F225" s="20" t="inlineStr">
        <is>
          <t xml:space="preserve">+</t>
        </is>
      </c>
      <c r="G225" s="4">
        <v>1.097</v>
      </c>
      <c r="H225" s="2">
        <v>2425</v>
      </c>
      <c r="I225" s="9" t="inlineStr">
        <is>
          <t xml:space="preserve">+</t>
        </is>
      </c>
      <c r="J225" s="4">
        <v>1.094</v>
      </c>
    </row>
    <row r="226">
      <c r="A226" s="6" t="inlineStr">
        <is>
          <t xml:space="preserve">HRD-177-26S052587</t>
        </is>
      </c>
      <c r="B226" s="7" t="inlineStr">
        <is>
          <t xml:space="preserve">HRD-177-26S052587</t>
        </is>
      </c>
      <c r="C226" s="7" t="inlineStr">
        <is>
          <t xml:space="preserve">AHL3NVDRX7_1</t>
        </is>
      </c>
      <c r="D226" s="19" t="inlineStr">
        <is>
          <t xml:space="preserve">W0226_BRCA1_E11</t>
        </is>
      </c>
      <c r="E226" s="2">
        <v>3324</v>
      </c>
      <c r="F226" s="20" t="inlineStr">
        <is>
          <t xml:space="preserve">+</t>
        </is>
      </c>
      <c r="G226" s="4">
        <v>1.092</v>
      </c>
      <c r="H226" s="2">
        <v>2407</v>
      </c>
      <c r="I226" s="9" t="inlineStr">
        <is>
          <t xml:space="preserve">+</t>
        </is>
      </c>
      <c r="J226" s="4">
        <v>1.086</v>
      </c>
    </row>
    <row r="227">
      <c r="A227" s="6" t="inlineStr">
        <is>
          <t xml:space="preserve">HRD-177-26S052587</t>
        </is>
      </c>
      <c r="B227" s="7" t="inlineStr">
        <is>
          <t xml:space="preserve">HRD-177-26S052587</t>
        </is>
      </c>
      <c r="C227" s="7" t="inlineStr">
        <is>
          <t xml:space="preserve">AHL3NVDRX7_1</t>
        </is>
      </c>
      <c r="D227" s="19" t="inlineStr">
        <is>
          <t xml:space="preserve">W0227_BRCA1_E11</t>
        </is>
      </c>
      <c r="E227" s="2">
        <v>2593</v>
      </c>
      <c r="F227" s="20" t="inlineStr">
        <is>
          <t xml:space="preserve">+</t>
        </is>
      </c>
      <c r="G227" s="4">
        <v>0.852</v>
      </c>
      <c r="H227" s="2">
        <v>1911</v>
      </c>
      <c r="I227" s="9" t="inlineStr">
        <is>
          <t xml:space="preserve">+</t>
        </is>
      </c>
      <c r="J227" s="4">
        <v>0.862</v>
      </c>
    </row>
    <row r="228">
      <c r="A228" s="6" t="inlineStr">
        <is>
          <t xml:space="preserve">HRD-177-26S052587</t>
        </is>
      </c>
      <c r="B228" s="7" t="inlineStr">
        <is>
          <t xml:space="preserve">HRD-177-26S052587</t>
        </is>
      </c>
      <c r="C228" s="7" t="inlineStr">
        <is>
          <t xml:space="preserve">AHL3NVDRX7_1</t>
        </is>
      </c>
      <c r="D228" s="19" t="inlineStr">
        <is>
          <t xml:space="preserve">W0228_BRCA1_E10</t>
        </is>
      </c>
      <c r="E228" s="2">
        <v>4957</v>
      </c>
      <c r="F228" s="20" t="inlineStr">
        <is>
          <t xml:space="preserve">+</t>
        </is>
      </c>
      <c r="G228" s="4">
        <v>1.629</v>
      </c>
      <c r="H228" s="2">
        <v>3464</v>
      </c>
      <c r="I228" s="9" t="inlineStr">
        <is>
          <t xml:space="preserve">+</t>
        </is>
      </c>
      <c r="J228" s="4">
        <v>1.563</v>
      </c>
    </row>
    <row r="229">
      <c r="A229" s="6" t="inlineStr">
        <is>
          <t xml:space="preserve">HRD-177-26S052587</t>
        </is>
      </c>
      <c r="B229" s="7" t="inlineStr">
        <is>
          <t xml:space="preserve">HRD-177-26S052587</t>
        </is>
      </c>
      <c r="C229" s="7" t="inlineStr">
        <is>
          <t xml:space="preserve">AHL3NVDRX7_1</t>
        </is>
      </c>
      <c r="D229" s="19" t="inlineStr">
        <is>
          <t xml:space="preserve">W0229_BRCA1_E10</t>
        </is>
      </c>
      <c r="E229" s="2">
        <v>3604</v>
      </c>
      <c r="F229" s="20" t="inlineStr">
        <is>
          <t xml:space="preserve">+</t>
        </is>
      </c>
      <c r="G229" s="4">
        <v>1.184</v>
      </c>
      <c r="H229" s="2">
        <v>2521</v>
      </c>
      <c r="I229" s="9" t="inlineStr">
        <is>
          <t xml:space="preserve">+</t>
        </is>
      </c>
      <c r="J229" s="4">
        <v>1.137</v>
      </c>
    </row>
    <row r="230">
      <c r="A230" s="6" t="inlineStr">
        <is>
          <t xml:space="preserve">HRD-177-26S052587</t>
        </is>
      </c>
      <c r="B230" s="7" t="inlineStr">
        <is>
          <t xml:space="preserve">HRD-177-26S052587</t>
        </is>
      </c>
      <c r="C230" s="7" t="inlineStr">
        <is>
          <t xml:space="preserve">AHL3NVDRX7_1</t>
        </is>
      </c>
      <c r="D230" s="19" t="inlineStr">
        <is>
          <t xml:space="preserve">W0230_BRCA1_E09</t>
        </is>
      </c>
      <c r="E230" s="2">
        <v>3683</v>
      </c>
      <c r="F230" s="20" t="inlineStr">
        <is>
          <t xml:space="preserve">+</t>
        </is>
      </c>
      <c r="G230" s="4">
        <v>1.21</v>
      </c>
      <c r="H230" s="2">
        <v>2712</v>
      </c>
      <c r="I230" s="9" t="inlineStr">
        <is>
          <t xml:space="preserve">+</t>
        </is>
      </c>
      <c r="J230" s="4">
        <v>1.223</v>
      </c>
    </row>
    <row r="231">
      <c r="A231" s="6" t="inlineStr">
        <is>
          <t xml:space="preserve">HRD-177-26S052587</t>
        </is>
      </c>
      <c r="B231" s="7" t="inlineStr">
        <is>
          <t xml:space="preserve">HRD-177-26S052587</t>
        </is>
      </c>
      <c r="C231" s="7" t="inlineStr">
        <is>
          <t xml:space="preserve">AHL3NVDRX7_1</t>
        </is>
      </c>
      <c r="D231" s="19" t="inlineStr">
        <is>
          <t xml:space="preserve">W0231_BRCA1_E09</t>
        </is>
      </c>
      <c r="E231" s="2">
        <v>1127</v>
      </c>
      <c r="F231" s="20" t="inlineStr">
        <is>
          <t xml:space="preserve">+</t>
        </is>
      </c>
      <c r="G231" s="4">
        <v>0.37</v>
      </c>
      <c r="H231" s="2">
        <v>906</v>
      </c>
      <c r="I231" s="9" t="inlineStr">
        <is>
          <t xml:space="preserve">+</t>
        </is>
      </c>
      <c r="J231" s="4">
        <v>0.409</v>
      </c>
    </row>
    <row r="232">
      <c r="A232" s="6" t="inlineStr">
        <is>
          <t xml:space="preserve">HRD-177-26S052587</t>
        </is>
      </c>
      <c r="B232" s="7" t="inlineStr">
        <is>
          <t xml:space="preserve">HRD-177-26S052587</t>
        </is>
      </c>
      <c r="C232" s="7" t="inlineStr">
        <is>
          <t xml:space="preserve">AHL3NVDRX7_1</t>
        </is>
      </c>
      <c r="D232" s="19" t="inlineStr">
        <is>
          <t xml:space="preserve">W0232_BRCA1_E08</t>
        </is>
      </c>
      <c r="E232" s="2">
        <v>2649</v>
      </c>
      <c r="F232" s="20" t="inlineStr">
        <is>
          <t xml:space="preserve">+</t>
        </is>
      </c>
      <c r="G232" s="4">
        <v>0.871</v>
      </c>
      <c r="H232" s="2">
        <v>1921</v>
      </c>
      <c r="I232" s="9" t="inlineStr">
        <is>
          <t xml:space="preserve">+</t>
        </is>
      </c>
      <c r="J232" s="4">
        <v>0.867</v>
      </c>
    </row>
    <row r="233">
      <c r="A233" s="6" t="inlineStr">
        <is>
          <t xml:space="preserve">HRD-177-26S052587</t>
        </is>
      </c>
      <c r="B233" s="7" t="inlineStr">
        <is>
          <t xml:space="preserve">HRD-177-26S052587</t>
        </is>
      </c>
      <c r="C233" s="7" t="inlineStr">
        <is>
          <t xml:space="preserve">AHL3NVDRX7_1</t>
        </is>
      </c>
      <c r="D233" s="19" t="inlineStr">
        <is>
          <t xml:space="preserve">W0233_BRCA1_E08</t>
        </is>
      </c>
      <c r="E233" s="2">
        <v>3686</v>
      </c>
      <c r="F233" s="20" t="inlineStr">
        <is>
          <t xml:space="preserve">+</t>
        </is>
      </c>
      <c r="G233" s="4">
        <v>1.211</v>
      </c>
      <c r="H233" s="2">
        <v>2547</v>
      </c>
      <c r="I233" s="9" t="inlineStr">
        <is>
          <t xml:space="preserve">+</t>
        </is>
      </c>
      <c r="J233" s="4">
        <v>1.149</v>
      </c>
    </row>
    <row r="234">
      <c r="A234" s="6" t="inlineStr">
        <is>
          <t xml:space="preserve">HRD-177-26S052587</t>
        </is>
      </c>
      <c r="B234" s="7" t="inlineStr">
        <is>
          <t xml:space="preserve">HRD-177-26S052587</t>
        </is>
      </c>
      <c r="C234" s="7" t="inlineStr">
        <is>
          <t xml:space="preserve">AHL3NVDRX7_1</t>
        </is>
      </c>
      <c r="D234" s="19" t="inlineStr">
        <is>
          <t xml:space="preserve">W0234_BRCA1_E07</t>
        </is>
      </c>
      <c r="E234" s="2">
        <v>2272</v>
      </c>
      <c r="F234" s="20" t="inlineStr">
        <is>
          <t xml:space="preserve">+</t>
        </is>
      </c>
      <c r="G234" s="4">
        <v>0.747</v>
      </c>
      <c r="H234" s="2">
        <v>1821</v>
      </c>
      <c r="I234" s="9" t="inlineStr">
        <is>
          <t xml:space="preserve">+</t>
        </is>
      </c>
      <c r="J234" s="4">
        <v>0.822</v>
      </c>
    </row>
    <row r="235">
      <c r="A235" s="6" t="inlineStr">
        <is>
          <t xml:space="preserve">HRD-177-26S052587</t>
        </is>
      </c>
      <c r="B235" s="7" t="inlineStr">
        <is>
          <t xml:space="preserve">HRD-177-26S052587</t>
        </is>
      </c>
      <c r="C235" s="7" t="inlineStr">
        <is>
          <t xml:space="preserve">AHL3NVDRX7_1</t>
        </is>
      </c>
      <c r="D235" s="19" t="inlineStr">
        <is>
          <t xml:space="preserve">W0235_BRCA1_E07</t>
        </is>
      </c>
      <c r="E235" s="2">
        <v>3260</v>
      </c>
      <c r="F235" s="20" t="inlineStr">
        <is>
          <t xml:space="preserve">+</t>
        </is>
      </c>
      <c r="G235" s="4">
        <v>1.071</v>
      </c>
      <c r="H235" s="2">
        <v>2410</v>
      </c>
      <c r="I235" s="9" t="inlineStr">
        <is>
          <t xml:space="preserve">+</t>
        </is>
      </c>
      <c r="J235" s="4">
        <v>1.087</v>
      </c>
    </row>
    <row r="236">
      <c r="A236" s="6" t="inlineStr">
        <is>
          <t xml:space="preserve">HRD-177-26S052587</t>
        </is>
      </c>
      <c r="B236" s="7" t="inlineStr">
        <is>
          <t xml:space="preserve">HRD-177-26S052587</t>
        </is>
      </c>
      <c r="C236" s="7" t="inlineStr">
        <is>
          <t xml:space="preserve">AHL3NVDRX7_1</t>
        </is>
      </c>
      <c r="D236" s="19" t="inlineStr">
        <is>
          <t xml:space="preserve">W0236_BRCA1_E07</t>
        </is>
      </c>
      <c r="E236" s="2">
        <v>1802</v>
      </c>
      <c r="F236" s="20" t="inlineStr">
        <is>
          <t xml:space="preserve">+</t>
        </is>
      </c>
      <c r="G236" s="4">
        <v>0.592</v>
      </c>
      <c r="H236" s="2">
        <v>1392</v>
      </c>
      <c r="I236" s="9" t="inlineStr">
        <is>
          <t xml:space="preserve">+</t>
        </is>
      </c>
      <c r="J236" s="4">
        <v>0.628</v>
      </c>
    </row>
    <row r="237">
      <c r="A237" s="6" t="inlineStr">
        <is>
          <t xml:space="preserve">HRD-177-26S052587</t>
        </is>
      </c>
      <c r="B237" s="7" t="inlineStr">
        <is>
          <t xml:space="preserve">HRD-177-26S052587</t>
        </is>
      </c>
      <c r="C237" s="7" t="inlineStr">
        <is>
          <t xml:space="preserve">AHL3NVDRX7_1</t>
        </is>
      </c>
      <c r="D237" s="19" t="inlineStr">
        <is>
          <t xml:space="preserve">W0237_BRCA1_E06</t>
        </is>
      </c>
      <c r="E237" s="2">
        <v>5345</v>
      </c>
      <c r="F237" s="20" t="inlineStr">
        <is>
          <t xml:space="preserve">+</t>
        </is>
      </c>
      <c r="G237" s="4">
        <v>1.757</v>
      </c>
      <c r="H237" s="2">
        <v>3532</v>
      </c>
      <c r="I237" s="9" t="inlineStr">
        <is>
          <t xml:space="preserve">+</t>
        </is>
      </c>
      <c r="J237" s="4">
        <v>1.593</v>
      </c>
    </row>
    <row r="238">
      <c r="A238" s="6" t="inlineStr">
        <is>
          <t xml:space="preserve">HRD-177-26S052587</t>
        </is>
      </c>
      <c r="B238" s="7" t="inlineStr">
        <is>
          <t xml:space="preserve">HRD-177-26S052587</t>
        </is>
      </c>
      <c r="C238" s="7" t="inlineStr">
        <is>
          <t xml:space="preserve">AHL3NVDRX7_1</t>
        </is>
      </c>
      <c r="D238" s="19" t="inlineStr">
        <is>
          <t xml:space="preserve">W0238_BRCA1_E06</t>
        </is>
      </c>
      <c r="E238" s="2">
        <v>4812</v>
      </c>
      <c r="F238" s="20" t="inlineStr">
        <is>
          <t xml:space="preserve">+</t>
        </is>
      </c>
      <c r="G238" s="4">
        <v>1.581</v>
      </c>
      <c r="H238" s="2">
        <v>3385</v>
      </c>
      <c r="I238" s="9" t="inlineStr">
        <is>
          <t xml:space="preserve">+</t>
        </is>
      </c>
      <c r="J238" s="4">
        <v>1.527</v>
      </c>
    </row>
    <row r="239">
      <c r="A239" s="6" t="inlineStr">
        <is>
          <t xml:space="preserve">HRD-177-26S052587</t>
        </is>
      </c>
      <c r="B239" s="7" t="inlineStr">
        <is>
          <t xml:space="preserve">HRD-177-26S052587</t>
        </is>
      </c>
      <c r="C239" s="7" t="inlineStr">
        <is>
          <t xml:space="preserve">AHL3NVDRX7_1</t>
        </is>
      </c>
      <c r="D239" s="19" t="inlineStr">
        <is>
          <t xml:space="preserve">W0239_BRCA1_E05</t>
        </is>
      </c>
      <c r="E239" s="2">
        <v>3843</v>
      </c>
      <c r="F239" s="20" t="inlineStr">
        <is>
          <t xml:space="preserve">+</t>
        </is>
      </c>
      <c r="G239" s="4">
        <v>1.263</v>
      </c>
      <c r="H239" s="2">
        <v>2801</v>
      </c>
      <c r="I239" s="9" t="inlineStr">
        <is>
          <t xml:space="preserve">+</t>
        </is>
      </c>
      <c r="J239" s="4">
        <v>1.264</v>
      </c>
    </row>
    <row r="240">
      <c r="A240" s="6" t="inlineStr">
        <is>
          <t xml:space="preserve">HRD-177-26S052587</t>
        </is>
      </c>
      <c r="B240" s="7" t="inlineStr">
        <is>
          <t xml:space="preserve">HRD-177-26S052587</t>
        </is>
      </c>
      <c r="C240" s="7" t="inlineStr">
        <is>
          <t xml:space="preserve">AHL3NVDRX7_1</t>
        </is>
      </c>
      <c r="D240" s="19" t="inlineStr">
        <is>
          <t xml:space="preserve">W0240_BRCA1_E05</t>
        </is>
      </c>
      <c r="E240" s="2">
        <v>3162</v>
      </c>
      <c r="F240" s="20" t="inlineStr">
        <is>
          <t xml:space="preserve">+</t>
        </is>
      </c>
      <c r="G240" s="4">
        <v>1.039</v>
      </c>
      <c r="H240" s="2">
        <v>2382</v>
      </c>
      <c r="I240" s="9" t="inlineStr">
        <is>
          <t xml:space="preserve">+</t>
        </is>
      </c>
      <c r="J240" s="4">
        <v>1.075</v>
      </c>
    </row>
    <row r="241">
      <c r="A241" s="6" t="inlineStr">
        <is>
          <t xml:space="preserve">HRD-177-26S052587</t>
        </is>
      </c>
      <c r="B241" s="7" t="inlineStr">
        <is>
          <t xml:space="preserve">HRD-177-26S052587</t>
        </is>
      </c>
      <c r="C241" s="7" t="inlineStr">
        <is>
          <t xml:space="preserve">AHL3NVDRX7_1</t>
        </is>
      </c>
      <c r="D241" s="19" t="inlineStr">
        <is>
          <t xml:space="preserve">W0241_BRCA1_E03</t>
        </is>
      </c>
      <c r="E241" s="2">
        <v>7246</v>
      </c>
      <c r="F241" s="20" t="inlineStr">
        <is>
          <t xml:space="preserve">+</t>
        </is>
      </c>
      <c r="G241" s="4">
        <v>2.381</v>
      </c>
      <c r="H241" s="2">
        <v>4963</v>
      </c>
      <c r="I241" s="9" t="inlineStr">
        <is>
          <t xml:space="preserve">+</t>
        </is>
      </c>
      <c r="J241" s="4">
        <v>2.239</v>
      </c>
    </row>
    <row r="242">
      <c r="A242" s="6" t="inlineStr">
        <is>
          <t xml:space="preserve">HRD-177-26S052587</t>
        </is>
      </c>
      <c r="B242" s="7" t="inlineStr">
        <is>
          <t xml:space="preserve">HRD-177-26S052587</t>
        </is>
      </c>
      <c r="C242" s="7" t="inlineStr">
        <is>
          <t xml:space="preserve">AHL3NVDRX7_1</t>
        </is>
      </c>
      <c r="D242" s="19" t="inlineStr">
        <is>
          <t xml:space="preserve">W0242_BRCA1_E03</t>
        </is>
      </c>
      <c r="E242" s="2">
        <v>3748</v>
      </c>
      <c r="F242" s="20" t="inlineStr">
        <is>
          <t xml:space="preserve">+</t>
        </is>
      </c>
      <c r="G242" s="4">
        <v>1.232</v>
      </c>
      <c r="H242" s="2">
        <v>2811</v>
      </c>
      <c r="I242" s="9" t="inlineStr">
        <is>
          <t xml:space="preserve">+</t>
        </is>
      </c>
      <c r="J242" s="4">
        <v>1.268</v>
      </c>
    </row>
    <row r="243">
      <c r="A243" s="6" t="inlineStr">
        <is>
          <t xml:space="preserve">HRD-177-26S052587</t>
        </is>
      </c>
      <c r="B243" s="7" t="inlineStr">
        <is>
          <t xml:space="preserve">HRD-177-26S052587</t>
        </is>
      </c>
      <c r="C243" s="7" t="inlineStr">
        <is>
          <t xml:space="preserve">AHL3NVDRX7_1</t>
        </is>
      </c>
      <c r="D243" s="19" t="inlineStr">
        <is>
          <t xml:space="preserve">W0243_BRCA1_E02</t>
        </is>
      </c>
      <c r="E243" s="2">
        <v>2789</v>
      </c>
      <c r="F243" s="20" t="inlineStr">
        <is>
          <t xml:space="preserve">+</t>
        </is>
      </c>
      <c r="G243" s="4">
        <v>0.917</v>
      </c>
      <c r="H243" s="2">
        <v>2042</v>
      </c>
      <c r="I243" s="9" t="inlineStr">
        <is>
          <t xml:space="preserve">+</t>
        </is>
      </c>
      <c r="J243" s="4">
        <v>0.921</v>
      </c>
    </row>
    <row r="244">
      <c r="A244" s="6" t="inlineStr">
        <is>
          <t xml:space="preserve">HRD-177-26S052587</t>
        </is>
      </c>
      <c r="B244" s="7" t="inlineStr">
        <is>
          <t xml:space="preserve">HRD-177-26S052587</t>
        </is>
      </c>
      <c r="C244" s="7" t="inlineStr">
        <is>
          <t xml:space="preserve">AHL3NVDRX7_1</t>
        </is>
      </c>
      <c r="D244" s="19" t="inlineStr">
        <is>
          <t xml:space="preserve">W0244_BRCA1_E02</t>
        </is>
      </c>
      <c r="E244" s="2">
        <v>1364</v>
      </c>
      <c r="F244" s="20" t="inlineStr">
        <is>
          <t xml:space="preserve">+</t>
        </is>
      </c>
      <c r="G244" s="4">
        <v>0.448</v>
      </c>
      <c r="H244" s="2">
        <v>1068</v>
      </c>
      <c r="I244" s="9" t="inlineStr">
        <is>
          <t xml:space="preserve">+</t>
        </is>
      </c>
      <c r="J244" s="4">
        <v>0.482</v>
      </c>
    </row>
    <row r="245">
      <c r="A245" s="6" t="inlineStr">
        <is>
          <t xml:space="preserve">HRD-177-26S052587</t>
        </is>
      </c>
      <c r="B245" s="7" t="inlineStr">
        <is>
          <t xml:space="preserve">HRD-177-26S052587</t>
        </is>
      </c>
      <c r="C245" s="7" t="inlineStr">
        <is>
          <t xml:space="preserve">AHL3NVDRX7_1</t>
        </is>
      </c>
      <c r="D245" s="19" t="inlineStr">
        <is>
          <t xml:space="preserve">W0245_BRCA1_E02</t>
        </is>
      </c>
      <c r="E245" s="2">
        <v>1241</v>
      </c>
      <c r="F245" s="20" t="inlineStr">
        <is>
          <t xml:space="preserve">+</t>
        </is>
      </c>
      <c r="G245" s="4">
        <v>0.408</v>
      </c>
      <c r="H245" s="2">
        <v>997</v>
      </c>
      <c r="I245" s="9" t="inlineStr">
        <is>
          <t xml:space="preserve">+</t>
        </is>
      </c>
      <c r="J245" s="4">
        <v>0.45</v>
      </c>
    </row>
    <row r="246">
      <c r="A246" s="6" t="inlineStr">
        <is>
          <t xml:space="preserve">HRD-177-26S052587</t>
        </is>
      </c>
      <c r="B246" s="7" t="inlineStr">
        <is>
          <t xml:space="preserve">HRD-177-26S052587</t>
        </is>
      </c>
      <c r="C246" s="7" t="inlineStr">
        <is>
          <t xml:space="preserve">AHL3NVDRX7_1</t>
        </is>
      </c>
      <c r="D246" s="19" t="inlineStr">
        <is>
          <t xml:space="preserve">W0246_BRCA1_E02</t>
        </is>
      </c>
      <c r="E246" s="2">
        <v>3988</v>
      </c>
      <c r="F246" s="20" t="inlineStr">
        <is>
          <t xml:space="preserve">+</t>
        </is>
      </c>
      <c r="G246" s="4">
        <v>1.311</v>
      </c>
      <c r="H246" s="2">
        <v>2882</v>
      </c>
      <c r="I246" s="9" t="inlineStr">
        <is>
          <t xml:space="preserve">+</t>
        </is>
      </c>
      <c r="J246" s="4">
        <v>1.3</v>
      </c>
    </row>
    <row r="247">
      <c r="A247" s="6" t="inlineStr">
        <is>
          <t xml:space="preserve">HRD-177-26S052587</t>
        </is>
      </c>
      <c r="B247" s="7" t="inlineStr">
        <is>
          <t xml:space="preserve">HRD-177-26S052587</t>
        </is>
      </c>
      <c r="C247" s="7" t="inlineStr">
        <is>
          <t xml:space="preserve">AHL3NVDRX7_1</t>
        </is>
      </c>
      <c r="D247" s="19" t="inlineStr">
        <is>
          <t xml:space="preserve">W0247_BRCA1_I13</t>
        </is>
      </c>
      <c r="E247" s="2">
        <v>2802</v>
      </c>
      <c r="F247" s="20" t="inlineStr">
        <is>
          <t xml:space="preserve">+</t>
        </is>
      </c>
      <c r="G247" s="4">
        <v>0.921</v>
      </c>
      <c r="H247" s="2">
        <v>2077</v>
      </c>
      <c r="I247" s="9" t="inlineStr">
        <is>
          <t xml:space="preserve">+</t>
        </is>
      </c>
      <c r="J247" s="4">
        <v>0.937</v>
      </c>
    </row>
    <row r="248">
      <c r="A248" s="6" t="inlineStr">
        <is>
          <t xml:space="preserve">HRD-177-26S052587</t>
        </is>
      </c>
      <c r="B248" s="7" t="inlineStr">
        <is>
          <t xml:space="preserve">HRD-177-26S052587</t>
        </is>
      </c>
      <c r="C248" s="7" t="inlineStr">
        <is>
          <t xml:space="preserve">AHL3NVDRX7_1</t>
        </is>
      </c>
      <c r="D248" s="19" t="inlineStr">
        <is>
          <t xml:space="preserve">W0248_BRCA1_I12</t>
        </is>
      </c>
      <c r="E248" s="2">
        <v>3794</v>
      </c>
      <c r="F248" s="20" t="inlineStr">
        <is>
          <t xml:space="preserve">+</t>
        </is>
      </c>
      <c r="G248" s="4">
        <v>1.247</v>
      </c>
      <c r="H248" s="2">
        <v>2780</v>
      </c>
      <c r="I248" s="9" t="inlineStr">
        <is>
          <t xml:space="preserve">+</t>
        </is>
      </c>
      <c r="J248" s="4">
        <v>1.254</v>
      </c>
    </row>
    <row r="249">
      <c r="A249" s="6" t="inlineStr">
        <is>
          <t xml:space="preserve">HRD-177-26S052587</t>
        </is>
      </c>
      <c r="B249" s="7" t="inlineStr">
        <is>
          <t xml:space="preserve">HRD-177-26S052587</t>
        </is>
      </c>
      <c r="C249" s="7" t="inlineStr">
        <is>
          <t xml:space="preserve">AHL3NVDRX7_1</t>
        </is>
      </c>
      <c r="D249" s="19" t="inlineStr">
        <is>
          <t xml:space="preserve">W0249_BRCA1_UTR5</t>
        </is>
      </c>
      <c r="E249" s="2">
        <v>2549</v>
      </c>
      <c r="F249" s="20" t="inlineStr">
        <is>
          <t xml:space="preserve">+</t>
        </is>
      </c>
      <c r="G249" s="4">
        <v>0.838</v>
      </c>
      <c r="H249" s="2">
        <v>1811</v>
      </c>
      <c r="I249" s="9" t="inlineStr">
        <is>
          <t xml:space="preserve">+</t>
        </is>
      </c>
      <c r="J249" s="4">
        <v>0.817</v>
      </c>
    </row>
    <row r="250">
      <c r="A250" s="6" t="inlineStr">
        <is>
          <t xml:space="preserve">HRD-177-26S052587</t>
        </is>
      </c>
      <c r="B250" s="7" t="inlineStr">
        <is>
          <t xml:space="preserve">HRD-177-26S052587</t>
        </is>
      </c>
      <c r="C250" s="7" t="inlineStr">
        <is>
          <t xml:space="preserve">AHL3NVDRX7_1</t>
        </is>
      </c>
      <c r="D250" s="19" t="inlineStr">
        <is>
          <t xml:space="preserve">W0250_BRCA1_UTR5</t>
        </is>
      </c>
      <c r="E250" s="2">
        <v>1135</v>
      </c>
      <c r="F250" s="20" t="inlineStr">
        <is>
          <t xml:space="preserve">+</t>
        </is>
      </c>
      <c r="G250" s="4">
        <v>0.373</v>
      </c>
      <c r="H250" s="2">
        <v>806</v>
      </c>
      <c r="I250" s="9" t="inlineStr">
        <is>
          <t xml:space="preserve">+</t>
        </is>
      </c>
      <c r="J250" s="4">
        <v>0.364</v>
      </c>
    </row>
    <row r="251">
      <c r="A251" s="6" t="inlineStr">
        <is>
          <t xml:space="preserve">HRD-177-26S052587</t>
        </is>
      </c>
      <c r="B251" s="7" t="inlineStr">
        <is>
          <t xml:space="preserve">HRD-177-26S052587</t>
        </is>
      </c>
      <c r="C251" s="7" t="inlineStr">
        <is>
          <t xml:space="preserve">AHL3NVDRX7_1</t>
        </is>
      </c>
      <c r="D251" s="19" t="inlineStr">
        <is>
          <t xml:space="preserve">W0251_BRCA2_UTR5</t>
        </is>
      </c>
      <c r="E251" s="2">
        <v>1298</v>
      </c>
      <c r="F251" s="20" t="inlineStr">
        <is>
          <t xml:space="preserve">+</t>
        </is>
      </c>
      <c r="G251" s="4">
        <v>0.427</v>
      </c>
      <c r="H251" s="2">
        <v>984</v>
      </c>
      <c r="I251" s="9" t="inlineStr">
        <is>
          <t xml:space="preserve">+</t>
        </is>
      </c>
      <c r="J251" s="4">
        <v>0.444</v>
      </c>
    </row>
    <row r="252">
      <c r="A252" s="6" t="inlineStr">
        <is>
          <t xml:space="preserve">HRD-177-26S052587</t>
        </is>
      </c>
      <c r="B252" s="7" t="inlineStr">
        <is>
          <t xml:space="preserve">HRD-177-26S052587</t>
        </is>
      </c>
      <c r="C252" s="7" t="inlineStr">
        <is>
          <t xml:space="preserve">AHL3NVDRX7_1</t>
        </is>
      </c>
      <c r="D252" s="19" t="inlineStr">
        <is>
          <t xml:space="preserve">W0252_BRCA2_I01</t>
        </is>
      </c>
      <c r="E252" s="2">
        <v>1277</v>
      </c>
      <c r="F252" s="20" t="inlineStr">
        <is>
          <t xml:space="preserve">+</t>
        </is>
      </c>
      <c r="G252" s="4">
        <v>0.42</v>
      </c>
      <c r="H252" s="2">
        <v>879</v>
      </c>
      <c r="I252" s="9" t="inlineStr">
        <is>
          <t xml:space="preserve">+</t>
        </is>
      </c>
      <c r="J252" s="4">
        <v>0.397</v>
      </c>
    </row>
    <row r="253">
      <c r="A253" s="6" t="inlineStr">
        <is>
          <t xml:space="preserve">HRD-177-26S052587</t>
        </is>
      </c>
      <c r="B253" s="7" t="inlineStr">
        <is>
          <t xml:space="preserve">HRD-177-26S052587</t>
        </is>
      </c>
      <c r="C253" s="7" t="inlineStr">
        <is>
          <t xml:space="preserve">AHL3NVDRX7_1</t>
        </is>
      </c>
      <c r="D253" s="19" t="inlineStr">
        <is>
          <t xml:space="preserve">W0253_BRCA2_UTR5</t>
        </is>
      </c>
      <c r="E253" s="2">
        <v>1168</v>
      </c>
      <c r="F253" s="20" t="inlineStr">
        <is>
          <t xml:space="preserve">+</t>
        </is>
      </c>
      <c r="G253" s="4">
        <v>0.384</v>
      </c>
      <c r="H253" s="2">
        <v>920</v>
      </c>
      <c r="I253" s="9" t="inlineStr">
        <is>
          <t xml:space="preserve">+</t>
        </is>
      </c>
      <c r="J253" s="4">
        <v>0.415</v>
      </c>
    </row>
    <row r="254">
      <c r="A254" s="6" t="inlineStr">
        <is>
          <t xml:space="preserve">HRD-177-26S052587</t>
        </is>
      </c>
      <c r="B254" s="7" t="inlineStr">
        <is>
          <t xml:space="preserve">HRD-177-26S052587</t>
        </is>
      </c>
      <c r="C254" s="7" t="inlineStr">
        <is>
          <t xml:space="preserve">AHL3NVDRX7_1</t>
        </is>
      </c>
      <c r="D254" s="19" t="inlineStr">
        <is>
          <t xml:space="preserve">W0254_BRCA2_E02</t>
        </is>
      </c>
      <c r="E254" s="2">
        <v>3171</v>
      </c>
      <c r="F254" s="20" t="inlineStr">
        <is>
          <t xml:space="preserve">+</t>
        </is>
      </c>
      <c r="G254" s="4">
        <v>1.042</v>
      </c>
      <c r="H254" s="2">
        <v>2339</v>
      </c>
      <c r="I254" s="9" t="inlineStr">
        <is>
          <t xml:space="preserve">+</t>
        </is>
      </c>
      <c r="J254" s="4">
        <v>1.055</v>
      </c>
    </row>
    <row r="255">
      <c r="A255" s="6" t="inlineStr">
        <is>
          <t xml:space="preserve">HRD-177-26S052587</t>
        </is>
      </c>
      <c r="B255" s="7" t="inlineStr">
        <is>
          <t xml:space="preserve">HRD-177-26S052587</t>
        </is>
      </c>
      <c r="C255" s="7" t="inlineStr">
        <is>
          <t xml:space="preserve">AHL3NVDRX7_1</t>
        </is>
      </c>
      <c r="D255" s="19" t="inlineStr">
        <is>
          <t xml:space="preserve">W0255_BRCA2_E02</t>
        </is>
      </c>
      <c r="E255" s="2">
        <v>3164</v>
      </c>
      <c r="F255" s="20" t="inlineStr">
        <is>
          <t xml:space="preserve">+</t>
        </is>
      </c>
      <c r="G255" s="4">
        <v>1.04</v>
      </c>
      <c r="H255" s="2">
        <v>2351</v>
      </c>
      <c r="I255" s="9" t="inlineStr">
        <is>
          <t xml:space="preserve">+</t>
        </is>
      </c>
      <c r="J255" s="4">
        <v>1.061</v>
      </c>
    </row>
    <row r="256">
      <c r="A256" s="6" t="inlineStr">
        <is>
          <t xml:space="preserve">HRD-177-26S052587</t>
        </is>
      </c>
      <c r="B256" s="7" t="inlineStr">
        <is>
          <t xml:space="preserve">HRD-177-26S052587</t>
        </is>
      </c>
      <c r="C256" s="7" t="inlineStr">
        <is>
          <t xml:space="preserve">AHL3NVDRX7_1</t>
        </is>
      </c>
      <c r="D256" s="19" t="inlineStr">
        <is>
          <t xml:space="preserve">W0256_BRCA2_E03</t>
        </is>
      </c>
      <c r="E256" s="2">
        <v>2606</v>
      </c>
      <c r="F256" s="20" t="inlineStr">
        <is>
          <t xml:space="preserve">+</t>
        </is>
      </c>
      <c r="G256" s="4">
        <v>0.856</v>
      </c>
      <c r="H256" s="2">
        <v>1949</v>
      </c>
      <c r="I256" s="9" t="inlineStr">
        <is>
          <t xml:space="preserve">+</t>
        </is>
      </c>
      <c r="J256" s="4">
        <v>0.879</v>
      </c>
    </row>
    <row r="257">
      <c r="A257" s="6" t="inlineStr">
        <is>
          <t xml:space="preserve">HRD-177-26S052587</t>
        </is>
      </c>
      <c r="B257" s="7" t="inlineStr">
        <is>
          <t xml:space="preserve">HRD-177-26S052587</t>
        </is>
      </c>
      <c r="C257" s="7" t="inlineStr">
        <is>
          <t xml:space="preserve">AHL3NVDRX7_1</t>
        </is>
      </c>
      <c r="D257" s="19" t="inlineStr">
        <is>
          <t xml:space="preserve">W0257_BRCA2_E03</t>
        </is>
      </c>
      <c r="E257" s="2">
        <v>2762</v>
      </c>
      <c r="F257" s="20" t="inlineStr">
        <is>
          <t xml:space="preserve">+</t>
        </is>
      </c>
      <c r="G257" s="4">
        <v>0.908</v>
      </c>
      <c r="H257" s="2">
        <v>2100</v>
      </c>
      <c r="I257" s="9" t="inlineStr">
        <is>
          <t xml:space="preserve">+</t>
        </is>
      </c>
      <c r="J257" s="4">
        <v>0.947</v>
      </c>
    </row>
    <row r="258">
      <c r="A258" s="6" t="inlineStr">
        <is>
          <t xml:space="preserve">HRD-177-26S052587</t>
        </is>
      </c>
      <c r="B258" s="7" t="inlineStr">
        <is>
          <t xml:space="preserve">HRD-177-26S052587</t>
        </is>
      </c>
      <c r="C258" s="7" t="inlineStr">
        <is>
          <t xml:space="preserve">AHL3NVDRX7_1</t>
        </is>
      </c>
      <c r="D258" s="19" t="inlineStr">
        <is>
          <t xml:space="preserve">W0258_BRCA2_E03</t>
        </is>
      </c>
      <c r="E258" s="2">
        <v>4357</v>
      </c>
      <c r="F258" s="20" t="inlineStr">
        <is>
          <t xml:space="preserve">+</t>
        </is>
      </c>
      <c r="G258" s="4">
        <v>1.432</v>
      </c>
      <c r="H258" s="2">
        <v>3202</v>
      </c>
      <c r="I258" s="9" t="inlineStr">
        <is>
          <t xml:space="preserve">+</t>
        </is>
      </c>
      <c r="J258" s="4">
        <v>1.445</v>
      </c>
    </row>
    <row r="259">
      <c r="A259" s="6" t="inlineStr">
        <is>
          <t xml:space="preserve">HRD-177-26S052587</t>
        </is>
      </c>
      <c r="B259" s="7" t="inlineStr">
        <is>
          <t xml:space="preserve">HRD-177-26S052587</t>
        </is>
      </c>
      <c r="C259" s="7" t="inlineStr">
        <is>
          <t xml:space="preserve">AHL3NVDRX7_1</t>
        </is>
      </c>
      <c r="D259" s="19" t="inlineStr">
        <is>
          <t xml:space="preserve">W0259_BRCA2_E04</t>
        </is>
      </c>
      <c r="E259" s="2">
        <v>3952</v>
      </c>
      <c r="F259" s="20" t="inlineStr">
        <is>
          <t xml:space="preserve">+</t>
        </is>
      </c>
      <c r="G259" s="4">
        <v>1.299</v>
      </c>
      <c r="H259" s="2">
        <v>2829</v>
      </c>
      <c r="I259" s="9" t="inlineStr">
        <is>
          <t xml:space="preserve">+</t>
        </is>
      </c>
      <c r="J259" s="4">
        <v>1.276</v>
      </c>
    </row>
    <row r="260">
      <c r="A260" s="6" t="inlineStr">
        <is>
          <t xml:space="preserve">HRD-177-26S052587</t>
        </is>
      </c>
      <c r="B260" s="7" t="inlineStr">
        <is>
          <t xml:space="preserve">HRD-177-26S052587</t>
        </is>
      </c>
      <c r="C260" s="7" t="inlineStr">
        <is>
          <t xml:space="preserve">AHL3NVDRX7_1</t>
        </is>
      </c>
      <c r="D260" s="19" t="inlineStr">
        <is>
          <t xml:space="preserve">W0260_BRCA2_E04</t>
        </is>
      </c>
      <c r="E260" s="2">
        <v>4311</v>
      </c>
      <c r="F260" s="20" t="inlineStr">
        <is>
          <t xml:space="preserve">+</t>
        </is>
      </c>
      <c r="G260" s="4">
        <v>1.417</v>
      </c>
      <c r="H260" s="2">
        <v>3068</v>
      </c>
      <c r="I260" s="9" t="inlineStr">
        <is>
          <t xml:space="preserve">+</t>
        </is>
      </c>
      <c r="J260" s="4">
        <v>1.384</v>
      </c>
    </row>
    <row r="261">
      <c r="A261" s="6" t="inlineStr">
        <is>
          <t xml:space="preserve">HRD-177-26S052587</t>
        </is>
      </c>
      <c r="B261" s="7" t="inlineStr">
        <is>
          <t xml:space="preserve">HRD-177-26S052587</t>
        </is>
      </c>
      <c r="C261" s="7" t="inlineStr">
        <is>
          <t xml:space="preserve">AHL3NVDRX7_1</t>
        </is>
      </c>
      <c r="D261" s="19" t="inlineStr">
        <is>
          <t xml:space="preserve">W0261_BRCA2_E04</t>
        </is>
      </c>
      <c r="E261" s="2">
        <v>1888</v>
      </c>
      <c r="F261" s="20" t="inlineStr">
        <is>
          <t xml:space="preserve">+</t>
        </is>
      </c>
      <c r="G261" s="4">
        <v>0.62</v>
      </c>
      <c r="H261" s="2">
        <v>1423</v>
      </c>
      <c r="I261" s="9" t="inlineStr">
        <is>
          <t xml:space="preserve">+</t>
        </is>
      </c>
      <c r="J261" s="4">
        <v>0.642</v>
      </c>
    </row>
    <row r="262">
      <c r="A262" s="6" t="inlineStr">
        <is>
          <t xml:space="preserve">HRD-177-26S052587</t>
        </is>
      </c>
      <c r="B262" s="7" t="inlineStr">
        <is>
          <t xml:space="preserve">HRD-177-26S052587</t>
        </is>
      </c>
      <c r="C262" s="7" t="inlineStr">
        <is>
          <t xml:space="preserve">AHL3NVDRX7_1</t>
        </is>
      </c>
      <c r="D262" s="19" t="inlineStr">
        <is>
          <t xml:space="preserve">W0262_BRCA2_E05-07</t>
        </is>
      </c>
      <c r="E262" s="2">
        <v>4372</v>
      </c>
      <c r="F262" s="20" t="inlineStr">
        <is>
          <t xml:space="preserve">+</t>
        </is>
      </c>
      <c r="G262" s="4">
        <v>1.437</v>
      </c>
      <c r="H262" s="2">
        <v>3137</v>
      </c>
      <c r="I262" s="9" t="inlineStr">
        <is>
          <t xml:space="preserve">+</t>
        </is>
      </c>
      <c r="J262" s="4">
        <v>1.415</v>
      </c>
    </row>
    <row r="263">
      <c r="A263" s="6" t="inlineStr">
        <is>
          <t xml:space="preserve">HRD-177-26S052587</t>
        </is>
      </c>
      <c r="B263" s="7" t="inlineStr">
        <is>
          <t xml:space="preserve">HRD-177-26S052587</t>
        </is>
      </c>
      <c r="C263" s="7" t="inlineStr">
        <is>
          <t xml:space="preserve">AHL3NVDRX7_1</t>
        </is>
      </c>
      <c r="D263" s="19" t="inlineStr">
        <is>
          <t xml:space="preserve">W0263_BRCA2_E05-07</t>
        </is>
      </c>
      <c r="E263" s="2">
        <v>2131</v>
      </c>
      <c r="F263" s="20" t="inlineStr">
        <is>
          <t xml:space="preserve">+</t>
        </is>
      </c>
      <c r="G263" s="4">
        <v>0.7</v>
      </c>
      <c r="H263" s="2">
        <v>1622</v>
      </c>
      <c r="I263" s="9" t="inlineStr">
        <is>
          <t xml:space="preserve">+</t>
        </is>
      </c>
      <c r="J263" s="4">
        <v>0.732</v>
      </c>
    </row>
    <row r="264">
      <c r="A264" s="6" t="inlineStr">
        <is>
          <t xml:space="preserve">HRD-177-26S052587</t>
        </is>
      </c>
      <c r="B264" s="7" t="inlineStr">
        <is>
          <t xml:space="preserve">HRD-177-26S052587</t>
        </is>
      </c>
      <c r="C264" s="7" t="inlineStr">
        <is>
          <t xml:space="preserve">AHL3NVDRX7_1</t>
        </is>
      </c>
      <c r="D264" s="19" t="inlineStr">
        <is>
          <t xml:space="preserve">W0264_BRCA2_E05-07</t>
        </is>
      </c>
      <c r="E264" s="2">
        <v>2663</v>
      </c>
      <c r="F264" s="20" t="inlineStr">
        <is>
          <t xml:space="preserve">+</t>
        </is>
      </c>
      <c r="G264" s="4">
        <v>0.875</v>
      </c>
      <c r="H264" s="2">
        <v>2074</v>
      </c>
      <c r="I264" s="9" t="inlineStr">
        <is>
          <t xml:space="preserve">+</t>
        </is>
      </c>
      <c r="J264" s="4">
        <v>0.936</v>
      </c>
    </row>
    <row r="265">
      <c r="A265" s="6" t="inlineStr">
        <is>
          <t xml:space="preserve">HRD-177-26S052587</t>
        </is>
      </c>
      <c r="B265" s="7" t="inlineStr">
        <is>
          <t xml:space="preserve">HRD-177-26S052587</t>
        </is>
      </c>
      <c r="C265" s="7" t="inlineStr">
        <is>
          <t xml:space="preserve">AHL3NVDRX7_1</t>
        </is>
      </c>
      <c r="D265" s="19" t="inlineStr">
        <is>
          <t xml:space="preserve">W0265_BRCA2_E05-07</t>
        </is>
      </c>
      <c r="E265" s="2">
        <v>2961</v>
      </c>
      <c r="F265" s="20" t="inlineStr">
        <is>
          <t xml:space="preserve">+</t>
        </is>
      </c>
      <c r="G265" s="4">
        <v>0.973</v>
      </c>
      <c r="H265" s="2">
        <v>2243</v>
      </c>
      <c r="I265" s="9" t="inlineStr">
        <is>
          <t xml:space="preserve">+</t>
        </is>
      </c>
      <c r="J265" s="4">
        <v>1.012</v>
      </c>
    </row>
    <row r="266">
      <c r="A266" s="6" t="inlineStr">
        <is>
          <t xml:space="preserve">HRD-177-26S052587</t>
        </is>
      </c>
      <c r="B266" s="7" t="inlineStr">
        <is>
          <t xml:space="preserve">HRD-177-26S052587</t>
        </is>
      </c>
      <c r="C266" s="7" t="inlineStr">
        <is>
          <t xml:space="preserve">AHL3NVDRX7_1</t>
        </is>
      </c>
      <c r="D266" s="19" t="inlineStr">
        <is>
          <t xml:space="preserve">W0266_BRCA2_E05-07</t>
        </is>
      </c>
      <c r="E266" s="2">
        <v>2421</v>
      </c>
      <c r="F266" s="20" t="inlineStr">
        <is>
          <t xml:space="preserve">+</t>
        </is>
      </c>
      <c r="G266" s="4">
        <v>0.796</v>
      </c>
      <c r="H266" s="2">
        <v>1829</v>
      </c>
      <c r="I266" s="9" t="inlineStr">
        <is>
          <t xml:space="preserve">+</t>
        </is>
      </c>
      <c r="J266" s="4">
        <v>0.825</v>
      </c>
    </row>
    <row r="267">
      <c r="A267" s="6" t="inlineStr">
        <is>
          <t xml:space="preserve">HRD-177-26S052587</t>
        </is>
      </c>
      <c r="B267" s="7" t="inlineStr">
        <is>
          <t xml:space="preserve">HRD-177-26S052587</t>
        </is>
      </c>
      <c r="C267" s="7" t="inlineStr">
        <is>
          <t xml:space="preserve">AHL3NVDRX7_1</t>
        </is>
      </c>
      <c r="D267" s="19" t="inlineStr">
        <is>
          <t xml:space="preserve">W0267_BRCA2_E05-07</t>
        </is>
      </c>
      <c r="E267" s="2">
        <v>2409</v>
      </c>
      <c r="F267" s="20" t="inlineStr">
        <is>
          <t xml:space="preserve">+</t>
        </is>
      </c>
      <c r="G267" s="4">
        <v>0.792</v>
      </c>
      <c r="H267" s="2">
        <v>1705</v>
      </c>
      <c r="I267" s="9" t="inlineStr">
        <is>
          <t xml:space="preserve">+</t>
        </is>
      </c>
      <c r="J267" s="4">
        <v>0.769</v>
      </c>
    </row>
    <row r="268">
      <c r="A268" s="6" t="inlineStr">
        <is>
          <t xml:space="preserve">HRD-177-26S052587</t>
        </is>
      </c>
      <c r="B268" s="7" t="inlineStr">
        <is>
          <t xml:space="preserve">HRD-177-26S052587</t>
        </is>
      </c>
      <c r="C268" s="7" t="inlineStr">
        <is>
          <t xml:space="preserve">AHL3NVDRX7_1</t>
        </is>
      </c>
      <c r="D268" s="19" t="inlineStr">
        <is>
          <t xml:space="preserve">W0268_BRCA2_E08</t>
        </is>
      </c>
      <c r="E268" s="2">
        <v>4400</v>
      </c>
      <c r="F268" s="20" t="inlineStr">
        <is>
          <t xml:space="preserve">+</t>
        </is>
      </c>
      <c r="G268" s="4">
        <v>1.446</v>
      </c>
      <c r="H268" s="2">
        <v>3225</v>
      </c>
      <c r="I268" s="9" t="inlineStr">
        <is>
          <t xml:space="preserve">+</t>
        </is>
      </c>
      <c r="J268" s="4">
        <v>1.455</v>
      </c>
    </row>
    <row r="269">
      <c r="A269" s="6" t="inlineStr">
        <is>
          <t xml:space="preserve">HRD-177-26S052587</t>
        </is>
      </c>
      <c r="B269" s="7" t="inlineStr">
        <is>
          <t xml:space="preserve">HRD-177-26S052587</t>
        </is>
      </c>
      <c r="C269" s="7" t="inlineStr">
        <is>
          <t xml:space="preserve">AHL3NVDRX7_1</t>
        </is>
      </c>
      <c r="D269" s="19" t="inlineStr">
        <is>
          <t xml:space="preserve">W0269_BRCA2_E08</t>
        </is>
      </c>
      <c r="E269" s="2">
        <v>4969</v>
      </c>
      <c r="F269" s="20" t="inlineStr">
        <is>
          <t xml:space="preserve">+</t>
        </is>
      </c>
      <c r="G269" s="4">
        <v>1.633</v>
      </c>
      <c r="H269" s="2">
        <v>3571</v>
      </c>
      <c r="I269" s="9" t="inlineStr">
        <is>
          <t xml:space="preserve">+</t>
        </is>
      </c>
      <c r="J269" s="4">
        <v>1.611</v>
      </c>
    </row>
    <row r="270">
      <c r="A270" s="6" t="inlineStr">
        <is>
          <t xml:space="preserve">HRD-177-26S052587</t>
        </is>
      </c>
      <c r="B270" s="7" t="inlineStr">
        <is>
          <t xml:space="preserve">HRD-177-26S052587</t>
        </is>
      </c>
      <c r="C270" s="7" t="inlineStr">
        <is>
          <t xml:space="preserve">AHL3NVDRX7_1</t>
        </is>
      </c>
      <c r="D270" s="19" t="inlineStr">
        <is>
          <t xml:space="preserve">W0270_BRCA2_E09</t>
        </is>
      </c>
      <c r="E270" s="2">
        <v>3252</v>
      </c>
      <c r="F270" s="20" t="inlineStr">
        <is>
          <t xml:space="preserve">+</t>
        </is>
      </c>
      <c r="G270" s="4">
        <v>1.069</v>
      </c>
      <c r="H270" s="2">
        <v>2419</v>
      </c>
      <c r="I270" s="9" t="inlineStr">
        <is>
          <t xml:space="preserve">+</t>
        </is>
      </c>
      <c r="J270" s="4">
        <v>1.091</v>
      </c>
    </row>
    <row r="271">
      <c r="A271" s="6" t="inlineStr">
        <is>
          <t xml:space="preserve">HRD-177-26S052587</t>
        </is>
      </c>
      <c r="B271" s="7" t="inlineStr">
        <is>
          <t xml:space="preserve">HRD-177-26S052587</t>
        </is>
      </c>
      <c r="C271" s="7" t="inlineStr">
        <is>
          <t xml:space="preserve">AHL3NVDRX7_1</t>
        </is>
      </c>
      <c r="D271" s="19" t="inlineStr">
        <is>
          <t xml:space="preserve">W0271_BRCA2_E09</t>
        </is>
      </c>
      <c r="E271" s="2">
        <v>3778</v>
      </c>
      <c r="F271" s="20" t="inlineStr">
        <is>
          <t xml:space="preserve">+</t>
        </is>
      </c>
      <c r="G271" s="4">
        <v>1.242</v>
      </c>
      <c r="H271" s="2">
        <v>2745</v>
      </c>
      <c r="I271" s="9" t="inlineStr">
        <is>
          <t xml:space="preserve">+</t>
        </is>
      </c>
      <c r="J271" s="4">
        <v>1.238</v>
      </c>
    </row>
    <row r="272">
      <c r="A272" s="6" t="inlineStr">
        <is>
          <t xml:space="preserve">HRD-177-26S052587</t>
        </is>
      </c>
      <c r="B272" s="7" t="inlineStr">
        <is>
          <t xml:space="preserve">HRD-177-26S052587</t>
        </is>
      </c>
      <c r="C272" s="7" t="inlineStr">
        <is>
          <t xml:space="preserve">AHL3NVDRX7_1</t>
        </is>
      </c>
      <c r="D272" s="19" t="inlineStr">
        <is>
          <t xml:space="preserve">W0272_BRCA2_E10</t>
        </is>
      </c>
      <c r="E272" s="2">
        <v>2646</v>
      </c>
      <c r="F272" s="20" t="inlineStr">
        <is>
          <t xml:space="preserve">+</t>
        </is>
      </c>
      <c r="G272" s="4">
        <v>0.87</v>
      </c>
      <c r="H272" s="2">
        <v>2008</v>
      </c>
      <c r="I272" s="9" t="inlineStr">
        <is>
          <t xml:space="preserve">+</t>
        </is>
      </c>
      <c r="J272" s="4">
        <v>0.906</v>
      </c>
    </row>
    <row r="273">
      <c r="A273" s="6" t="inlineStr">
        <is>
          <t xml:space="preserve">HRD-177-26S052587</t>
        </is>
      </c>
      <c r="B273" s="7" t="inlineStr">
        <is>
          <t xml:space="preserve">HRD-177-26S052587</t>
        </is>
      </c>
      <c r="C273" s="7" t="inlineStr">
        <is>
          <t xml:space="preserve">AHL3NVDRX7_1</t>
        </is>
      </c>
      <c r="D273" s="19" t="inlineStr">
        <is>
          <t xml:space="preserve">W0273_BRCA2_E10</t>
        </is>
      </c>
      <c r="E273" s="2">
        <v>3416</v>
      </c>
      <c r="F273" s="20" t="inlineStr">
        <is>
          <t xml:space="preserve">+</t>
        </is>
      </c>
      <c r="G273" s="4">
        <v>1.123</v>
      </c>
      <c r="H273" s="2">
        <v>2596</v>
      </c>
      <c r="I273" s="9" t="inlineStr">
        <is>
          <t xml:space="preserve">+</t>
        </is>
      </c>
      <c r="J273" s="4">
        <v>1.171</v>
      </c>
    </row>
    <row r="274">
      <c r="A274" s="6" t="inlineStr">
        <is>
          <t xml:space="preserve">HRD-177-26S052587</t>
        </is>
      </c>
      <c r="B274" s="7" t="inlineStr">
        <is>
          <t xml:space="preserve">HRD-177-26S052587</t>
        </is>
      </c>
      <c r="C274" s="7" t="inlineStr">
        <is>
          <t xml:space="preserve">AHL3NVDRX7_1</t>
        </is>
      </c>
      <c r="D274" s="19" t="inlineStr">
        <is>
          <t xml:space="preserve">W0274_BRCA2_E10</t>
        </is>
      </c>
      <c r="E274" s="2">
        <v>2764</v>
      </c>
      <c r="F274" s="20" t="inlineStr">
        <is>
          <t xml:space="preserve">+</t>
        </is>
      </c>
      <c r="G274" s="4">
        <v>0.908</v>
      </c>
      <c r="H274" s="2">
        <v>2102</v>
      </c>
      <c r="I274" s="9" t="inlineStr">
        <is>
          <t xml:space="preserve">+</t>
        </is>
      </c>
      <c r="J274" s="4">
        <v>0.948</v>
      </c>
    </row>
    <row r="275">
      <c r="A275" s="6" t="inlineStr">
        <is>
          <t xml:space="preserve">HRD-177-26S052587</t>
        </is>
      </c>
      <c r="B275" s="7" t="inlineStr">
        <is>
          <t xml:space="preserve">HRD-177-26S052587</t>
        </is>
      </c>
      <c r="C275" s="7" t="inlineStr">
        <is>
          <t xml:space="preserve">AHL3NVDRX7_1</t>
        </is>
      </c>
      <c r="D275" s="19" t="inlineStr">
        <is>
          <t xml:space="preserve">W0275_BRCA2_E10</t>
        </is>
      </c>
      <c r="E275" s="2">
        <v>3089</v>
      </c>
      <c r="F275" s="20" t="inlineStr">
        <is>
          <t xml:space="preserve">+</t>
        </is>
      </c>
      <c r="G275" s="4">
        <v>1.015</v>
      </c>
      <c r="H275" s="2">
        <v>2312</v>
      </c>
      <c r="I275" s="9" t="inlineStr">
        <is>
          <t xml:space="preserve">+</t>
        </is>
      </c>
      <c r="J275" s="4">
        <v>1.043</v>
      </c>
    </row>
    <row r="276">
      <c r="A276" s="6" t="inlineStr">
        <is>
          <t xml:space="preserve">HRD-177-26S052587</t>
        </is>
      </c>
      <c r="B276" s="7" t="inlineStr">
        <is>
          <t xml:space="preserve">HRD-177-26S052587</t>
        </is>
      </c>
      <c r="C276" s="7" t="inlineStr">
        <is>
          <t xml:space="preserve">AHL3NVDRX7_1</t>
        </is>
      </c>
      <c r="D276" s="19" t="inlineStr">
        <is>
          <t xml:space="preserve">W0276_BRCA2_E10</t>
        </is>
      </c>
      <c r="E276" s="2">
        <v>3548</v>
      </c>
      <c r="F276" s="20" t="inlineStr">
        <is>
          <t xml:space="preserve">+</t>
        </is>
      </c>
      <c r="G276" s="4">
        <v>1.166</v>
      </c>
      <c r="H276" s="2">
        <v>2644</v>
      </c>
      <c r="I276" s="9" t="inlineStr">
        <is>
          <t xml:space="preserve">+</t>
        </is>
      </c>
      <c r="J276" s="4">
        <v>1.193</v>
      </c>
    </row>
    <row r="277">
      <c r="A277" s="6" t="inlineStr">
        <is>
          <t xml:space="preserve">HRD-177-26S052587</t>
        </is>
      </c>
      <c r="B277" s="7" t="inlineStr">
        <is>
          <t xml:space="preserve">HRD-177-26S052587</t>
        </is>
      </c>
      <c r="C277" s="7" t="inlineStr">
        <is>
          <t xml:space="preserve">AHL3NVDRX7_1</t>
        </is>
      </c>
      <c r="D277" s="19" t="inlineStr">
        <is>
          <t xml:space="preserve">W0277_BRCA2_E10</t>
        </is>
      </c>
      <c r="E277" s="2">
        <v>2021</v>
      </c>
      <c r="F277" s="20" t="inlineStr">
        <is>
          <t xml:space="preserve">+</t>
        </is>
      </c>
      <c r="G277" s="4">
        <v>0.664</v>
      </c>
      <c r="H277" s="2">
        <v>1555</v>
      </c>
      <c r="I277" s="9" t="inlineStr">
        <is>
          <t xml:space="preserve">+</t>
        </is>
      </c>
      <c r="J277" s="4">
        <v>0.702</v>
      </c>
    </row>
    <row r="278">
      <c r="A278" s="6" t="inlineStr">
        <is>
          <t xml:space="preserve">HRD-177-26S052587</t>
        </is>
      </c>
      <c r="B278" s="7" t="inlineStr">
        <is>
          <t xml:space="preserve">HRD-177-26S052587</t>
        </is>
      </c>
      <c r="C278" s="7" t="inlineStr">
        <is>
          <t xml:space="preserve">AHL3NVDRX7_1</t>
        </is>
      </c>
      <c r="D278" s="19" t="inlineStr">
        <is>
          <t xml:space="preserve">W0278_BRCA2_E10</t>
        </is>
      </c>
      <c r="E278" s="2">
        <v>2848</v>
      </c>
      <c r="F278" s="20" t="inlineStr">
        <is>
          <t xml:space="preserve">+</t>
        </is>
      </c>
      <c r="G278" s="4">
        <v>0.936</v>
      </c>
      <c r="H278" s="2">
        <v>2152</v>
      </c>
      <c r="I278" s="9" t="inlineStr">
        <is>
          <t xml:space="preserve">+</t>
        </is>
      </c>
      <c r="J278" s="4">
        <v>0.971</v>
      </c>
    </row>
    <row r="279">
      <c r="A279" s="6" t="inlineStr">
        <is>
          <t xml:space="preserve">HRD-177-26S052587</t>
        </is>
      </c>
      <c r="B279" s="7" t="inlineStr">
        <is>
          <t xml:space="preserve">HRD-177-26S052587</t>
        </is>
      </c>
      <c r="C279" s="7" t="inlineStr">
        <is>
          <t xml:space="preserve">AHL3NVDRX7_1</t>
        </is>
      </c>
      <c r="D279" s="19" t="inlineStr">
        <is>
          <t xml:space="preserve">W0279_BRCA2_E10</t>
        </is>
      </c>
      <c r="E279" s="2">
        <v>3847</v>
      </c>
      <c r="F279" s="20" t="inlineStr">
        <is>
          <t xml:space="preserve">+</t>
        </is>
      </c>
      <c r="G279" s="4">
        <v>1.264</v>
      </c>
      <c r="H279" s="2">
        <v>2815</v>
      </c>
      <c r="I279" s="9" t="inlineStr">
        <is>
          <t xml:space="preserve">+</t>
        </is>
      </c>
      <c r="J279" s="4">
        <v>1.27</v>
      </c>
    </row>
    <row r="280">
      <c r="A280" s="6" t="inlineStr">
        <is>
          <t xml:space="preserve">HRD-177-26S052587</t>
        </is>
      </c>
      <c r="B280" s="7" t="inlineStr">
        <is>
          <t xml:space="preserve">HRD-177-26S052587</t>
        </is>
      </c>
      <c r="C280" s="7" t="inlineStr">
        <is>
          <t xml:space="preserve">AHL3NVDRX7_1</t>
        </is>
      </c>
      <c r="D280" s="19" t="inlineStr">
        <is>
          <t xml:space="preserve">W0280_BRCA2_E10</t>
        </is>
      </c>
      <c r="E280" s="2">
        <v>2779</v>
      </c>
      <c r="F280" s="20" t="inlineStr">
        <is>
          <t xml:space="preserve">+</t>
        </is>
      </c>
      <c r="G280" s="4">
        <v>0.913</v>
      </c>
      <c r="H280" s="2">
        <v>2127</v>
      </c>
      <c r="I280" s="9" t="inlineStr">
        <is>
          <t xml:space="preserve">+</t>
        </is>
      </c>
      <c r="J280" s="4">
        <v>0.96</v>
      </c>
    </row>
    <row r="281">
      <c r="A281" s="6" t="inlineStr">
        <is>
          <t xml:space="preserve">HRD-177-26S052587</t>
        </is>
      </c>
      <c r="B281" s="7" t="inlineStr">
        <is>
          <t xml:space="preserve">HRD-177-26S052587</t>
        </is>
      </c>
      <c r="C281" s="7" t="inlineStr">
        <is>
          <t xml:space="preserve">AHL3NVDRX7_1</t>
        </is>
      </c>
      <c r="D281" s="19" t="inlineStr">
        <is>
          <t xml:space="preserve">W0281_BRCA2_E10</t>
        </is>
      </c>
      <c r="E281" s="2">
        <v>3087</v>
      </c>
      <c r="F281" s="20" t="inlineStr">
        <is>
          <t xml:space="preserve">+</t>
        </is>
      </c>
      <c r="G281" s="4">
        <v>1.015</v>
      </c>
      <c r="H281" s="2">
        <v>2268</v>
      </c>
      <c r="I281" s="9" t="inlineStr">
        <is>
          <t xml:space="preserve">+</t>
        </is>
      </c>
      <c r="J281" s="4">
        <v>1.023</v>
      </c>
    </row>
    <row r="282">
      <c r="A282" s="6" t="inlineStr">
        <is>
          <t xml:space="preserve">HRD-177-26S052587</t>
        </is>
      </c>
      <c r="B282" s="7" t="inlineStr">
        <is>
          <t xml:space="preserve">HRD-177-26S052587</t>
        </is>
      </c>
      <c r="C282" s="7" t="inlineStr">
        <is>
          <t xml:space="preserve">AHL3NVDRX7_1</t>
        </is>
      </c>
      <c r="D282" s="19" t="inlineStr">
        <is>
          <t xml:space="preserve">W0282_BRCA2_E10</t>
        </is>
      </c>
      <c r="E282" s="2">
        <v>3885</v>
      </c>
      <c r="F282" s="20" t="inlineStr">
        <is>
          <t xml:space="preserve">+</t>
        </is>
      </c>
      <c r="G282" s="4">
        <v>1.277</v>
      </c>
      <c r="H282" s="2">
        <v>2845</v>
      </c>
      <c r="I282" s="9" t="inlineStr">
        <is>
          <t xml:space="preserve">+</t>
        </is>
      </c>
      <c r="J282" s="4">
        <v>1.283</v>
      </c>
    </row>
    <row r="283">
      <c r="A283" s="6" t="inlineStr">
        <is>
          <t xml:space="preserve">HRD-177-26S052587</t>
        </is>
      </c>
      <c r="B283" s="7" t="inlineStr">
        <is>
          <t xml:space="preserve">HRD-177-26S052587</t>
        </is>
      </c>
      <c r="C283" s="7" t="inlineStr">
        <is>
          <t xml:space="preserve">AHL3NVDRX7_1</t>
        </is>
      </c>
      <c r="D283" s="19" t="inlineStr">
        <is>
          <t xml:space="preserve">W0283_BRCA2_E10</t>
        </is>
      </c>
      <c r="E283" s="2">
        <v>2065</v>
      </c>
      <c r="F283" s="20" t="inlineStr">
        <is>
          <t xml:space="preserve">+</t>
        </is>
      </c>
      <c r="G283" s="4">
        <v>0.679</v>
      </c>
      <c r="H283" s="2">
        <v>1621</v>
      </c>
      <c r="I283" s="9" t="inlineStr">
        <is>
          <t xml:space="preserve">+</t>
        </is>
      </c>
      <c r="J283" s="4">
        <v>0.731</v>
      </c>
    </row>
    <row r="284">
      <c r="A284" s="6" t="inlineStr">
        <is>
          <t xml:space="preserve">HRD-177-26S052587</t>
        </is>
      </c>
      <c r="B284" s="7" t="inlineStr">
        <is>
          <t xml:space="preserve">HRD-177-26S052587</t>
        </is>
      </c>
      <c r="C284" s="7" t="inlineStr">
        <is>
          <t xml:space="preserve">AHL3NVDRX7_1</t>
        </is>
      </c>
      <c r="D284" s="19" t="inlineStr">
        <is>
          <t xml:space="preserve">W0284_BRCA2_E10</t>
        </is>
      </c>
      <c r="E284" s="2">
        <v>3177</v>
      </c>
      <c r="F284" s="20" t="inlineStr">
        <is>
          <t xml:space="preserve">+</t>
        </is>
      </c>
      <c r="G284" s="4">
        <v>1.044</v>
      </c>
      <c r="H284" s="2">
        <v>2356</v>
      </c>
      <c r="I284" s="9" t="inlineStr">
        <is>
          <t xml:space="preserve">+</t>
        </is>
      </c>
      <c r="J284" s="4">
        <v>1.063</v>
      </c>
    </row>
    <row r="285">
      <c r="A285" s="6" t="inlineStr">
        <is>
          <t xml:space="preserve">HRD-177-26S052587</t>
        </is>
      </c>
      <c r="B285" s="7" t="inlineStr">
        <is>
          <t xml:space="preserve">HRD-177-26S052587</t>
        </is>
      </c>
      <c r="C285" s="7" t="inlineStr">
        <is>
          <t xml:space="preserve">AHL3NVDRX7_1</t>
        </is>
      </c>
      <c r="D285" s="19" t="inlineStr">
        <is>
          <t xml:space="preserve">W0285_BRCA2_E11</t>
        </is>
      </c>
      <c r="E285" s="2">
        <v>2678</v>
      </c>
      <c r="F285" s="20" t="inlineStr">
        <is>
          <t xml:space="preserve">+</t>
        </is>
      </c>
      <c r="G285" s="4">
        <v>0.88</v>
      </c>
      <c r="H285" s="2">
        <v>1996</v>
      </c>
      <c r="I285" s="9" t="inlineStr">
        <is>
          <t xml:space="preserve">+</t>
        </is>
      </c>
      <c r="J285" s="4">
        <v>0.9</v>
      </c>
    </row>
    <row r="286">
      <c r="A286" s="6" t="inlineStr">
        <is>
          <t xml:space="preserve">HRD-177-26S052587</t>
        </is>
      </c>
      <c r="B286" s="7" t="inlineStr">
        <is>
          <t xml:space="preserve">HRD-177-26S052587</t>
        </is>
      </c>
      <c r="C286" s="7" t="inlineStr">
        <is>
          <t xml:space="preserve">AHL3NVDRX7_1</t>
        </is>
      </c>
      <c r="D286" s="19" t="inlineStr">
        <is>
          <t xml:space="preserve">W0286_BRCA2_E11</t>
        </is>
      </c>
      <c r="E286" s="2">
        <v>2837</v>
      </c>
      <c r="F286" s="20" t="inlineStr">
        <is>
          <t xml:space="preserve">+</t>
        </is>
      </c>
      <c r="G286" s="4">
        <v>0.932</v>
      </c>
      <c r="H286" s="2">
        <v>2129</v>
      </c>
      <c r="I286" s="9" t="inlineStr">
        <is>
          <t xml:space="preserve">+</t>
        </is>
      </c>
      <c r="J286" s="4">
        <v>0.96</v>
      </c>
    </row>
    <row r="287">
      <c r="A287" s="6" t="inlineStr">
        <is>
          <t xml:space="preserve">HRD-177-26S052587</t>
        </is>
      </c>
      <c r="B287" s="7" t="inlineStr">
        <is>
          <t xml:space="preserve">HRD-177-26S052587</t>
        </is>
      </c>
      <c r="C287" s="7" t="inlineStr">
        <is>
          <t xml:space="preserve">AHL3NVDRX7_1</t>
        </is>
      </c>
      <c r="D287" s="19" t="inlineStr">
        <is>
          <t xml:space="preserve">W0287_BRCA2_E11</t>
        </is>
      </c>
      <c r="E287" s="2">
        <v>2511</v>
      </c>
      <c r="F287" s="20" t="inlineStr">
        <is>
          <t xml:space="preserve">+</t>
        </is>
      </c>
      <c r="G287" s="4">
        <v>0.825</v>
      </c>
      <c r="H287" s="2">
        <v>1911</v>
      </c>
      <c r="I287" s="9" t="inlineStr">
        <is>
          <t xml:space="preserve">+</t>
        </is>
      </c>
      <c r="J287" s="4">
        <v>0.862</v>
      </c>
    </row>
    <row r="288">
      <c r="A288" s="6" t="inlineStr">
        <is>
          <t xml:space="preserve">HRD-177-26S052587</t>
        </is>
      </c>
      <c r="B288" s="7" t="inlineStr">
        <is>
          <t xml:space="preserve">HRD-177-26S052587</t>
        </is>
      </c>
      <c r="C288" s="7" t="inlineStr">
        <is>
          <t xml:space="preserve">AHL3NVDRX7_1</t>
        </is>
      </c>
      <c r="D288" s="19" t="inlineStr">
        <is>
          <t xml:space="preserve">W0288_BRCA2_E11</t>
        </is>
      </c>
      <c r="E288" s="2">
        <v>2792</v>
      </c>
      <c r="F288" s="20" t="inlineStr">
        <is>
          <t xml:space="preserve">+</t>
        </is>
      </c>
      <c r="G288" s="4">
        <v>0.918</v>
      </c>
      <c r="H288" s="2">
        <v>2109</v>
      </c>
      <c r="I288" s="9" t="inlineStr">
        <is>
          <t xml:space="preserve">+</t>
        </is>
      </c>
      <c r="J288" s="4">
        <v>0.951</v>
      </c>
    </row>
    <row r="289">
      <c r="A289" s="6" t="inlineStr">
        <is>
          <t xml:space="preserve">HRD-177-26S052587</t>
        </is>
      </c>
      <c r="B289" s="7" t="inlineStr">
        <is>
          <t xml:space="preserve">HRD-177-26S052587</t>
        </is>
      </c>
      <c r="C289" s="7" t="inlineStr">
        <is>
          <t xml:space="preserve">AHL3NVDRX7_1</t>
        </is>
      </c>
      <c r="D289" s="19" t="inlineStr">
        <is>
          <t xml:space="preserve">W0289_BRCA2_E11</t>
        </is>
      </c>
      <c r="E289" s="2">
        <v>3303</v>
      </c>
      <c r="F289" s="20" t="inlineStr">
        <is>
          <t xml:space="preserve">+</t>
        </is>
      </c>
      <c r="G289" s="4">
        <v>1.086</v>
      </c>
      <c r="H289" s="2">
        <v>2509</v>
      </c>
      <c r="I289" s="9" t="inlineStr">
        <is>
          <t xml:space="preserve">+</t>
        </is>
      </c>
      <c r="J289" s="4">
        <v>1.132</v>
      </c>
    </row>
    <row r="290">
      <c r="A290" s="6" t="inlineStr">
        <is>
          <t xml:space="preserve">HRD-177-26S052587</t>
        </is>
      </c>
      <c r="B290" s="7" t="inlineStr">
        <is>
          <t xml:space="preserve">HRD-177-26S052587</t>
        </is>
      </c>
      <c r="C290" s="7" t="inlineStr">
        <is>
          <t xml:space="preserve">AHL3NVDRX7_1</t>
        </is>
      </c>
      <c r="D290" s="19" t="inlineStr">
        <is>
          <t xml:space="preserve">W0290_BRCA2_E11</t>
        </is>
      </c>
      <c r="E290" s="2">
        <v>2553</v>
      </c>
      <c r="F290" s="20" t="inlineStr">
        <is>
          <t xml:space="preserve">+</t>
        </is>
      </c>
      <c r="G290" s="4">
        <v>0.839</v>
      </c>
      <c r="H290" s="2">
        <v>1935</v>
      </c>
      <c r="I290" s="9" t="inlineStr">
        <is>
          <t xml:space="preserve">+</t>
        </is>
      </c>
      <c r="J290" s="4">
        <v>0.873</v>
      </c>
    </row>
    <row r="291">
      <c r="A291" s="6" t="inlineStr">
        <is>
          <t xml:space="preserve">HRD-177-26S052587</t>
        </is>
      </c>
      <c r="B291" s="7" t="inlineStr">
        <is>
          <t xml:space="preserve">HRD-177-26S052587</t>
        </is>
      </c>
      <c r="C291" s="7" t="inlineStr">
        <is>
          <t xml:space="preserve">AHL3NVDRX7_1</t>
        </is>
      </c>
      <c r="D291" s="19" t="inlineStr">
        <is>
          <t xml:space="preserve">W0291_BRCA2_E11</t>
        </is>
      </c>
      <c r="E291" s="2">
        <v>3339</v>
      </c>
      <c r="F291" s="20" t="inlineStr">
        <is>
          <t xml:space="preserve">+</t>
        </is>
      </c>
      <c r="G291" s="4">
        <v>1.097</v>
      </c>
      <c r="H291" s="2">
        <v>2512</v>
      </c>
      <c r="I291" s="9" t="inlineStr">
        <is>
          <t xml:space="preserve">+</t>
        </is>
      </c>
      <c r="J291" s="4">
        <v>1.133</v>
      </c>
    </row>
    <row r="292">
      <c r="A292" s="6" t="inlineStr">
        <is>
          <t xml:space="preserve">HRD-177-26S052587</t>
        </is>
      </c>
      <c r="B292" s="7" t="inlineStr">
        <is>
          <t xml:space="preserve">HRD-177-26S052587</t>
        </is>
      </c>
      <c r="C292" s="7" t="inlineStr">
        <is>
          <t xml:space="preserve">AHL3NVDRX7_1</t>
        </is>
      </c>
      <c r="D292" s="19" t="inlineStr">
        <is>
          <t xml:space="preserve">W0292_BRCA2_E11</t>
        </is>
      </c>
      <c r="E292" s="2">
        <v>3223</v>
      </c>
      <c r="F292" s="20" t="inlineStr">
        <is>
          <t xml:space="preserve">+</t>
        </is>
      </c>
      <c r="G292" s="4">
        <v>1.059</v>
      </c>
      <c r="H292" s="2">
        <v>2450</v>
      </c>
      <c r="I292" s="9" t="inlineStr">
        <is>
          <t xml:space="preserve">+</t>
        </is>
      </c>
      <c r="J292" s="4">
        <v>1.105</v>
      </c>
    </row>
    <row r="293">
      <c r="A293" s="6" t="inlineStr">
        <is>
          <t xml:space="preserve">HRD-177-26S052587</t>
        </is>
      </c>
      <c r="B293" s="7" t="inlineStr">
        <is>
          <t xml:space="preserve">HRD-177-26S052587</t>
        </is>
      </c>
      <c r="C293" s="7" t="inlineStr">
        <is>
          <t xml:space="preserve">AHL3NVDRX7_1</t>
        </is>
      </c>
      <c r="D293" s="19" t="inlineStr">
        <is>
          <t xml:space="preserve">W0293_BRCA2_E11</t>
        </is>
      </c>
      <c r="E293" s="2">
        <v>2811</v>
      </c>
      <c r="F293" s="20" t="inlineStr">
        <is>
          <t xml:space="preserve">+</t>
        </is>
      </c>
      <c r="G293" s="4">
        <v>0.924</v>
      </c>
      <c r="H293" s="2">
        <v>2105</v>
      </c>
      <c r="I293" s="9" t="inlineStr">
        <is>
          <t xml:space="preserve">+</t>
        </is>
      </c>
      <c r="J293" s="4">
        <v>0.95</v>
      </c>
    </row>
    <row r="294">
      <c r="A294" s="6" t="inlineStr">
        <is>
          <t xml:space="preserve">HRD-177-26S052587</t>
        </is>
      </c>
      <c r="B294" s="7" t="inlineStr">
        <is>
          <t xml:space="preserve">HRD-177-26S052587</t>
        </is>
      </c>
      <c r="C294" s="7" t="inlineStr">
        <is>
          <t xml:space="preserve">AHL3NVDRX7_1</t>
        </is>
      </c>
      <c r="D294" s="19" t="inlineStr">
        <is>
          <t xml:space="preserve">W0294_BRCA2_E11</t>
        </is>
      </c>
      <c r="E294" s="2">
        <v>2857</v>
      </c>
      <c r="F294" s="20" t="inlineStr">
        <is>
          <t xml:space="preserve">+</t>
        </is>
      </c>
      <c r="G294" s="4">
        <v>0.939</v>
      </c>
      <c r="H294" s="2">
        <v>2192</v>
      </c>
      <c r="I294" s="9" t="inlineStr">
        <is>
          <t xml:space="preserve">+</t>
        </is>
      </c>
      <c r="J294" s="4">
        <v>0.989</v>
      </c>
    </row>
    <row r="295">
      <c r="A295" s="6" t="inlineStr">
        <is>
          <t xml:space="preserve">HRD-177-26S052587</t>
        </is>
      </c>
      <c r="B295" s="7" t="inlineStr">
        <is>
          <t xml:space="preserve">HRD-177-26S052587</t>
        </is>
      </c>
      <c r="C295" s="7" t="inlineStr">
        <is>
          <t xml:space="preserve">AHL3NVDRX7_1</t>
        </is>
      </c>
      <c r="D295" s="19" t="inlineStr">
        <is>
          <t xml:space="preserve">W0295_BRCA2_E11</t>
        </is>
      </c>
      <c r="E295" s="2">
        <v>3836</v>
      </c>
      <c r="F295" s="20" t="inlineStr">
        <is>
          <t xml:space="preserve">+</t>
        </is>
      </c>
      <c r="G295" s="4">
        <v>1.261</v>
      </c>
      <c r="H295" s="2">
        <v>2816</v>
      </c>
      <c r="I295" s="9" t="inlineStr">
        <is>
          <t xml:space="preserve">+</t>
        </is>
      </c>
      <c r="J295" s="4">
        <v>1.27</v>
      </c>
    </row>
    <row r="296">
      <c r="A296" s="6" t="inlineStr">
        <is>
          <t xml:space="preserve">HRD-177-26S052587</t>
        </is>
      </c>
      <c r="B296" s="7" t="inlineStr">
        <is>
          <t xml:space="preserve">HRD-177-26S052587</t>
        </is>
      </c>
      <c r="C296" s="7" t="inlineStr">
        <is>
          <t xml:space="preserve">AHL3NVDRX7_1</t>
        </is>
      </c>
      <c r="D296" s="19" t="inlineStr">
        <is>
          <t xml:space="preserve">W0296_BRCA2_E11</t>
        </is>
      </c>
      <c r="E296" s="2">
        <v>2995</v>
      </c>
      <c r="F296" s="20" t="inlineStr">
        <is>
          <t xml:space="preserve">+</t>
        </is>
      </c>
      <c r="G296" s="4">
        <v>0.984</v>
      </c>
      <c r="H296" s="2">
        <v>2195</v>
      </c>
      <c r="I296" s="9" t="inlineStr">
        <is>
          <t xml:space="preserve">+</t>
        </is>
      </c>
      <c r="J296" s="4">
        <v>0.99</v>
      </c>
    </row>
    <row r="297">
      <c r="A297" s="6" t="inlineStr">
        <is>
          <t xml:space="preserve">HRD-177-26S052587</t>
        </is>
      </c>
      <c r="B297" s="7" t="inlineStr">
        <is>
          <t xml:space="preserve">HRD-177-26S052587</t>
        </is>
      </c>
      <c r="C297" s="7" t="inlineStr">
        <is>
          <t xml:space="preserve">AHL3NVDRX7_1</t>
        </is>
      </c>
      <c r="D297" s="19" t="inlineStr">
        <is>
          <t xml:space="preserve">W0297_BRCA2_E11</t>
        </is>
      </c>
      <c r="E297" s="2">
        <v>3822</v>
      </c>
      <c r="F297" s="20" t="inlineStr">
        <is>
          <t xml:space="preserve">+</t>
        </is>
      </c>
      <c r="G297" s="4">
        <v>1.256</v>
      </c>
      <c r="H297" s="2">
        <v>2795</v>
      </c>
      <c r="I297" s="9" t="inlineStr">
        <is>
          <t xml:space="preserve">+</t>
        </is>
      </c>
      <c r="J297" s="4">
        <v>1.261</v>
      </c>
    </row>
    <row r="298">
      <c r="A298" s="6" t="inlineStr">
        <is>
          <t xml:space="preserve">HRD-177-26S052587</t>
        </is>
      </c>
      <c r="B298" s="7" t="inlineStr">
        <is>
          <t xml:space="preserve">HRD-177-26S052587</t>
        </is>
      </c>
      <c r="C298" s="7" t="inlineStr">
        <is>
          <t xml:space="preserve">AHL3NVDRX7_1</t>
        </is>
      </c>
      <c r="D298" s="19" t="inlineStr">
        <is>
          <t xml:space="preserve">W0298_BRCA2_E11</t>
        </is>
      </c>
      <c r="E298" s="2">
        <v>2297</v>
      </c>
      <c r="F298" s="20" t="inlineStr">
        <is>
          <t xml:space="preserve">+</t>
        </is>
      </c>
      <c r="G298" s="4">
        <v>0.755</v>
      </c>
      <c r="H298" s="2">
        <v>1714</v>
      </c>
      <c r="I298" s="9" t="inlineStr">
        <is>
          <t xml:space="preserve">+</t>
        </is>
      </c>
      <c r="J298" s="4">
        <v>0.773</v>
      </c>
    </row>
    <row r="299">
      <c r="A299" s="6" t="inlineStr">
        <is>
          <t xml:space="preserve">HRD-177-26S052587</t>
        </is>
      </c>
      <c r="B299" s="7" t="inlineStr">
        <is>
          <t xml:space="preserve">HRD-177-26S052587</t>
        </is>
      </c>
      <c r="C299" s="7" t="inlineStr">
        <is>
          <t xml:space="preserve">AHL3NVDRX7_1</t>
        </is>
      </c>
      <c r="D299" s="19" t="inlineStr">
        <is>
          <t xml:space="preserve">W0299_BRCA2_E11</t>
        </is>
      </c>
      <c r="E299" s="2">
        <v>3154</v>
      </c>
      <c r="F299" s="20" t="inlineStr">
        <is>
          <t xml:space="preserve">+</t>
        </is>
      </c>
      <c r="G299" s="4">
        <v>1.037</v>
      </c>
      <c r="H299" s="2">
        <v>2283</v>
      </c>
      <c r="I299" s="9" t="inlineStr">
        <is>
          <t xml:space="preserve">+</t>
        </is>
      </c>
      <c r="J299" s="4">
        <v>1.03</v>
      </c>
    </row>
    <row r="300">
      <c r="A300" s="6" t="inlineStr">
        <is>
          <t xml:space="preserve">HRD-177-26S052587</t>
        </is>
      </c>
      <c r="B300" s="7" t="inlineStr">
        <is>
          <t xml:space="preserve">HRD-177-26S052587</t>
        </is>
      </c>
      <c r="C300" s="7" t="inlineStr">
        <is>
          <t xml:space="preserve">AHL3NVDRX7_1</t>
        </is>
      </c>
      <c r="D300" s="19" t="inlineStr">
        <is>
          <t xml:space="preserve">W0300_BRCA2_E11</t>
        </is>
      </c>
      <c r="E300" s="2">
        <v>3060</v>
      </c>
      <c r="F300" s="20" t="inlineStr">
        <is>
          <t xml:space="preserve">+</t>
        </is>
      </c>
      <c r="G300" s="4">
        <v>1.006</v>
      </c>
      <c r="H300" s="2">
        <v>2274</v>
      </c>
      <c r="I300" s="9" t="inlineStr">
        <is>
          <t xml:space="preserve">+</t>
        </is>
      </c>
      <c r="J300" s="4">
        <v>1.026</v>
      </c>
    </row>
    <row r="301">
      <c r="A301" s="6" t="inlineStr">
        <is>
          <t xml:space="preserve">HRD-177-26S052587</t>
        </is>
      </c>
      <c r="B301" s="7" t="inlineStr">
        <is>
          <t xml:space="preserve">HRD-177-26S052587</t>
        </is>
      </c>
      <c r="C301" s="7" t="inlineStr">
        <is>
          <t xml:space="preserve">AHL3NVDRX7_1</t>
        </is>
      </c>
      <c r="D301" s="19" t="inlineStr">
        <is>
          <t xml:space="preserve">W0301_BRCA2_E11</t>
        </is>
      </c>
      <c r="E301" s="2">
        <v>2421</v>
      </c>
      <c r="F301" s="20" t="inlineStr">
        <is>
          <t xml:space="preserve">+</t>
        </is>
      </c>
      <c r="G301" s="4">
        <v>0.796</v>
      </c>
      <c r="H301" s="2">
        <v>1798</v>
      </c>
      <c r="I301" s="9" t="inlineStr">
        <is>
          <t xml:space="preserve">+</t>
        </is>
      </c>
      <c r="J301" s="4">
        <v>0.811</v>
      </c>
    </row>
    <row r="302">
      <c r="A302" s="6" t="inlineStr">
        <is>
          <t xml:space="preserve">HRD-177-26S052587</t>
        </is>
      </c>
      <c r="B302" s="7" t="inlineStr">
        <is>
          <t xml:space="preserve">HRD-177-26S052587</t>
        </is>
      </c>
      <c r="C302" s="7" t="inlineStr">
        <is>
          <t xml:space="preserve">AHL3NVDRX7_1</t>
        </is>
      </c>
      <c r="D302" s="19" t="inlineStr">
        <is>
          <t xml:space="preserve">W0302_BRCA2_E11</t>
        </is>
      </c>
      <c r="E302" s="2">
        <v>3698</v>
      </c>
      <c r="F302" s="20" t="inlineStr">
        <is>
          <t xml:space="preserve">+</t>
        </is>
      </c>
      <c r="G302" s="4">
        <v>1.215</v>
      </c>
      <c r="H302" s="2">
        <v>2798</v>
      </c>
      <c r="I302" s="9" t="inlineStr">
        <is>
          <t xml:space="preserve">+</t>
        </is>
      </c>
      <c r="J302" s="4">
        <v>1.262</v>
      </c>
    </row>
    <row r="303">
      <c r="A303" s="6" t="inlineStr">
        <is>
          <t xml:space="preserve">HRD-177-26S052587</t>
        </is>
      </c>
      <c r="B303" s="7" t="inlineStr">
        <is>
          <t xml:space="preserve">HRD-177-26S052587</t>
        </is>
      </c>
      <c r="C303" s="7" t="inlineStr">
        <is>
          <t xml:space="preserve">AHL3NVDRX7_1</t>
        </is>
      </c>
      <c r="D303" s="19" t="inlineStr">
        <is>
          <t xml:space="preserve">W0303_BRCA2_E11</t>
        </is>
      </c>
      <c r="E303" s="2">
        <v>3778</v>
      </c>
      <c r="F303" s="20" t="inlineStr">
        <is>
          <t xml:space="preserve">+</t>
        </is>
      </c>
      <c r="G303" s="4">
        <v>1.242</v>
      </c>
      <c r="H303" s="2">
        <v>2771</v>
      </c>
      <c r="I303" s="9" t="inlineStr">
        <is>
          <t xml:space="preserve">+</t>
        </is>
      </c>
      <c r="J303" s="4">
        <v>1.25</v>
      </c>
    </row>
    <row r="304">
      <c r="A304" s="6" t="inlineStr">
        <is>
          <t xml:space="preserve">HRD-177-26S052587</t>
        </is>
      </c>
      <c r="B304" s="7" t="inlineStr">
        <is>
          <t xml:space="preserve">HRD-177-26S052587</t>
        </is>
      </c>
      <c r="C304" s="7" t="inlineStr">
        <is>
          <t xml:space="preserve">AHL3NVDRX7_1</t>
        </is>
      </c>
      <c r="D304" s="19" t="inlineStr">
        <is>
          <t xml:space="preserve">W0304_BRCA2_E11</t>
        </is>
      </c>
      <c r="E304" s="2">
        <v>2954</v>
      </c>
      <c r="F304" s="20" t="inlineStr">
        <is>
          <t xml:space="preserve">+</t>
        </is>
      </c>
      <c r="G304" s="4">
        <v>0.971</v>
      </c>
      <c r="H304" s="2">
        <v>2221</v>
      </c>
      <c r="I304" s="9" t="inlineStr">
        <is>
          <t xml:space="preserve">+</t>
        </is>
      </c>
      <c r="J304" s="4">
        <v>1.002</v>
      </c>
    </row>
    <row r="305">
      <c r="A305" s="6" t="inlineStr">
        <is>
          <t xml:space="preserve">HRD-177-26S052587</t>
        </is>
      </c>
      <c r="B305" s="7" t="inlineStr">
        <is>
          <t xml:space="preserve">HRD-177-26S052587</t>
        </is>
      </c>
      <c r="C305" s="7" t="inlineStr">
        <is>
          <t xml:space="preserve">AHL3NVDRX7_1</t>
        </is>
      </c>
      <c r="D305" s="19" t="inlineStr">
        <is>
          <t xml:space="preserve">W0305_BRCA2_E11</t>
        </is>
      </c>
      <c r="E305" s="2">
        <v>2755</v>
      </c>
      <c r="F305" s="20" t="inlineStr">
        <is>
          <t xml:space="preserve">+</t>
        </is>
      </c>
      <c r="G305" s="4">
        <v>0.905</v>
      </c>
      <c r="H305" s="2">
        <v>2067</v>
      </c>
      <c r="I305" s="9" t="inlineStr">
        <is>
          <t xml:space="preserve">+</t>
        </is>
      </c>
      <c r="J305" s="4">
        <v>0.932</v>
      </c>
    </row>
    <row r="306">
      <c r="A306" s="6" t="inlineStr">
        <is>
          <t xml:space="preserve">HRD-177-26S052587</t>
        </is>
      </c>
      <c r="B306" s="7" t="inlineStr">
        <is>
          <t xml:space="preserve">HRD-177-26S052587</t>
        </is>
      </c>
      <c r="C306" s="7" t="inlineStr">
        <is>
          <t xml:space="preserve">AHL3NVDRX7_1</t>
        </is>
      </c>
      <c r="D306" s="19" t="inlineStr">
        <is>
          <t xml:space="preserve">W0306_BRCA2_E11</t>
        </is>
      </c>
      <c r="E306" s="2">
        <v>2854</v>
      </c>
      <c r="F306" s="20" t="inlineStr">
        <is>
          <t xml:space="preserve">+</t>
        </is>
      </c>
      <c r="G306" s="4">
        <v>0.938</v>
      </c>
      <c r="H306" s="2">
        <v>2157</v>
      </c>
      <c r="I306" s="9" t="inlineStr">
        <is>
          <t xml:space="preserve">+</t>
        </is>
      </c>
      <c r="J306" s="4">
        <v>0.973</v>
      </c>
    </row>
    <row r="307">
      <c r="A307" s="6" t="inlineStr">
        <is>
          <t xml:space="preserve">HRD-177-26S052587</t>
        </is>
      </c>
      <c r="B307" s="7" t="inlineStr">
        <is>
          <t xml:space="preserve">HRD-177-26S052587</t>
        </is>
      </c>
      <c r="C307" s="7" t="inlineStr">
        <is>
          <t xml:space="preserve">AHL3NVDRX7_1</t>
        </is>
      </c>
      <c r="D307" s="19" t="inlineStr">
        <is>
          <t xml:space="preserve">W0307_BRCA2_E11</t>
        </is>
      </c>
      <c r="E307" s="2">
        <v>2340</v>
      </c>
      <c r="F307" s="20" t="inlineStr">
        <is>
          <t xml:space="preserve">+</t>
        </is>
      </c>
      <c r="G307" s="4">
        <v>0.769</v>
      </c>
      <c r="H307" s="2">
        <v>1772</v>
      </c>
      <c r="I307" s="9" t="inlineStr">
        <is>
          <t xml:space="preserve">+</t>
        </is>
      </c>
      <c r="J307" s="4">
        <v>0.799</v>
      </c>
    </row>
    <row r="308">
      <c r="A308" s="6" t="inlineStr">
        <is>
          <t xml:space="preserve">HRD-177-26S052587</t>
        </is>
      </c>
      <c r="B308" s="7" t="inlineStr">
        <is>
          <t xml:space="preserve">HRD-177-26S052587</t>
        </is>
      </c>
      <c r="C308" s="7" t="inlineStr">
        <is>
          <t xml:space="preserve">AHL3NVDRX7_1</t>
        </is>
      </c>
      <c r="D308" s="19" t="inlineStr">
        <is>
          <t xml:space="preserve">W0308_BRCA2_E11</t>
        </is>
      </c>
      <c r="E308" s="2">
        <v>2185</v>
      </c>
      <c r="F308" s="20" t="inlineStr">
        <is>
          <t xml:space="preserve">+</t>
        </is>
      </c>
      <c r="G308" s="4">
        <v>0.718</v>
      </c>
      <c r="H308" s="2">
        <v>1660</v>
      </c>
      <c r="I308" s="9" t="inlineStr">
        <is>
          <t xml:space="preserve">+</t>
        </is>
      </c>
      <c r="J308" s="4">
        <v>0.749</v>
      </c>
    </row>
    <row r="309">
      <c r="A309" s="6" t="inlineStr">
        <is>
          <t xml:space="preserve">HRD-177-26S052587</t>
        </is>
      </c>
      <c r="B309" s="7" t="inlineStr">
        <is>
          <t xml:space="preserve">HRD-177-26S052587</t>
        </is>
      </c>
      <c r="C309" s="7" t="inlineStr">
        <is>
          <t xml:space="preserve">AHL3NVDRX7_1</t>
        </is>
      </c>
      <c r="D309" s="19" t="inlineStr">
        <is>
          <t xml:space="preserve">W0309_BRCA2_E11</t>
        </is>
      </c>
      <c r="E309" s="2">
        <v>2184</v>
      </c>
      <c r="F309" s="20" t="inlineStr">
        <is>
          <t xml:space="preserve">+</t>
        </is>
      </c>
      <c r="G309" s="4">
        <v>0.718</v>
      </c>
      <c r="H309" s="2">
        <v>1707</v>
      </c>
      <c r="I309" s="9" t="inlineStr">
        <is>
          <t xml:space="preserve">+</t>
        </is>
      </c>
      <c r="J309" s="4">
        <v>0.77</v>
      </c>
    </row>
    <row r="310">
      <c r="A310" s="6" t="inlineStr">
        <is>
          <t xml:space="preserve">HRD-177-26S052587</t>
        </is>
      </c>
      <c r="B310" s="7" t="inlineStr">
        <is>
          <t xml:space="preserve">HRD-177-26S052587</t>
        </is>
      </c>
      <c r="C310" s="7" t="inlineStr">
        <is>
          <t xml:space="preserve">AHL3NVDRX7_1</t>
        </is>
      </c>
      <c r="D310" s="19" t="inlineStr">
        <is>
          <t xml:space="preserve">W0310_BRCA2_E11</t>
        </is>
      </c>
      <c r="E310" s="2">
        <v>3086</v>
      </c>
      <c r="F310" s="20" t="inlineStr">
        <is>
          <t xml:space="preserve">+</t>
        </is>
      </c>
      <c r="G310" s="4">
        <v>1.014</v>
      </c>
      <c r="H310" s="2">
        <v>2359</v>
      </c>
      <c r="I310" s="9" t="inlineStr">
        <is>
          <t xml:space="preserve">+</t>
        </is>
      </c>
      <c r="J310" s="4">
        <v>1.064</v>
      </c>
    </row>
    <row r="311">
      <c r="A311" s="6" t="inlineStr">
        <is>
          <t xml:space="preserve">HRD-177-26S052587</t>
        </is>
      </c>
      <c r="B311" s="7" t="inlineStr">
        <is>
          <t xml:space="preserve">HRD-177-26S052587</t>
        </is>
      </c>
      <c r="C311" s="7" t="inlineStr">
        <is>
          <t xml:space="preserve">AHL3NVDRX7_1</t>
        </is>
      </c>
      <c r="D311" s="19" t="inlineStr">
        <is>
          <t xml:space="preserve">W0311_BRCA2_E11</t>
        </is>
      </c>
      <c r="E311" s="2">
        <v>3860</v>
      </c>
      <c r="F311" s="20" t="inlineStr">
        <is>
          <t xml:space="preserve">+</t>
        </is>
      </c>
      <c r="G311" s="4">
        <v>1.269</v>
      </c>
      <c r="H311" s="2">
        <v>2854</v>
      </c>
      <c r="I311" s="9" t="inlineStr">
        <is>
          <t xml:space="preserve">+</t>
        </is>
      </c>
      <c r="J311" s="4">
        <v>1.288</v>
      </c>
    </row>
    <row r="312">
      <c r="A312" s="6" t="inlineStr">
        <is>
          <t xml:space="preserve">HRD-177-26S052587</t>
        </is>
      </c>
      <c r="B312" s="7" t="inlineStr">
        <is>
          <t xml:space="preserve">HRD-177-26S052587</t>
        </is>
      </c>
      <c r="C312" s="7" t="inlineStr">
        <is>
          <t xml:space="preserve">AHL3NVDRX7_1</t>
        </is>
      </c>
      <c r="D312" s="19" t="inlineStr">
        <is>
          <t xml:space="preserve">W0312_BRCA2_E11</t>
        </is>
      </c>
      <c r="E312" s="2">
        <v>2010</v>
      </c>
      <c r="F312" s="20" t="inlineStr">
        <is>
          <t xml:space="preserve">+</t>
        </is>
      </c>
      <c r="G312" s="4">
        <v>0.661</v>
      </c>
      <c r="H312" s="2">
        <v>1554</v>
      </c>
      <c r="I312" s="9" t="inlineStr">
        <is>
          <t xml:space="preserve">+</t>
        </is>
      </c>
      <c r="J312" s="4">
        <v>0.701</v>
      </c>
    </row>
    <row r="313">
      <c r="A313" s="6" t="inlineStr">
        <is>
          <t xml:space="preserve">HRD-177-26S052587</t>
        </is>
      </c>
      <c r="B313" s="7" t="inlineStr">
        <is>
          <t xml:space="preserve">HRD-177-26S052587</t>
        </is>
      </c>
      <c r="C313" s="7" t="inlineStr">
        <is>
          <t xml:space="preserve">AHL3NVDRX7_1</t>
        </is>
      </c>
      <c r="D313" s="19" t="inlineStr">
        <is>
          <t xml:space="preserve">W0313_BRCA2_E11</t>
        </is>
      </c>
      <c r="E313" s="2">
        <v>2998</v>
      </c>
      <c r="F313" s="20" t="inlineStr">
        <is>
          <t xml:space="preserve">+</t>
        </is>
      </c>
      <c r="G313" s="4">
        <v>0.985</v>
      </c>
      <c r="H313" s="2">
        <v>2236</v>
      </c>
      <c r="I313" s="9" t="inlineStr">
        <is>
          <t xml:space="preserve">+</t>
        </is>
      </c>
      <c r="J313" s="4">
        <v>1.009</v>
      </c>
    </row>
    <row r="314">
      <c r="A314" s="6" t="inlineStr">
        <is>
          <t xml:space="preserve">HRD-177-26S052587</t>
        </is>
      </c>
      <c r="B314" s="7" t="inlineStr">
        <is>
          <t xml:space="preserve">HRD-177-26S052587</t>
        </is>
      </c>
      <c r="C314" s="7" t="inlineStr">
        <is>
          <t xml:space="preserve">AHL3NVDRX7_1</t>
        </is>
      </c>
      <c r="D314" s="19" t="inlineStr">
        <is>
          <t xml:space="preserve">W0314_BRCA2_E11</t>
        </is>
      </c>
      <c r="E314" s="2">
        <v>2836</v>
      </c>
      <c r="F314" s="20" t="inlineStr">
        <is>
          <t xml:space="preserve">+</t>
        </is>
      </c>
      <c r="G314" s="4">
        <v>0.932</v>
      </c>
      <c r="H314" s="2">
        <v>2100</v>
      </c>
      <c r="I314" s="9" t="inlineStr">
        <is>
          <t xml:space="preserve">+</t>
        </is>
      </c>
      <c r="J314" s="4">
        <v>0.947</v>
      </c>
    </row>
    <row r="315">
      <c r="A315" s="6" t="inlineStr">
        <is>
          <t xml:space="preserve">HRD-177-26S052587</t>
        </is>
      </c>
      <c r="B315" s="7" t="inlineStr">
        <is>
          <t xml:space="preserve">HRD-177-26S052587</t>
        </is>
      </c>
      <c r="C315" s="7" t="inlineStr">
        <is>
          <t xml:space="preserve">AHL3NVDRX7_1</t>
        </is>
      </c>
      <c r="D315" s="19" t="inlineStr">
        <is>
          <t xml:space="preserve">W0315_BRCA2_E11</t>
        </is>
      </c>
      <c r="E315" s="2">
        <v>3310</v>
      </c>
      <c r="F315" s="20" t="inlineStr">
        <is>
          <t xml:space="preserve">+</t>
        </is>
      </c>
      <c r="G315" s="4">
        <v>1.088</v>
      </c>
      <c r="H315" s="2">
        <v>2492</v>
      </c>
      <c r="I315" s="9" t="inlineStr">
        <is>
          <t xml:space="preserve">+</t>
        </is>
      </c>
      <c r="J315" s="4">
        <v>1.124</v>
      </c>
    </row>
    <row r="316">
      <c r="A316" s="6" t="inlineStr">
        <is>
          <t xml:space="preserve">HRD-177-26S052587</t>
        </is>
      </c>
      <c r="B316" s="7" t="inlineStr">
        <is>
          <t xml:space="preserve">HRD-177-26S052587</t>
        </is>
      </c>
      <c r="C316" s="7" t="inlineStr">
        <is>
          <t xml:space="preserve">AHL3NVDRX7_1</t>
        </is>
      </c>
      <c r="D316" s="19" t="inlineStr">
        <is>
          <t xml:space="preserve">W0316_BRCA2_E11</t>
        </is>
      </c>
      <c r="E316" s="2">
        <v>2480</v>
      </c>
      <c r="F316" s="20" t="inlineStr">
        <is>
          <t xml:space="preserve">+</t>
        </is>
      </c>
      <c r="G316" s="4">
        <v>0.815</v>
      </c>
      <c r="H316" s="2">
        <v>1901</v>
      </c>
      <c r="I316" s="9" t="inlineStr">
        <is>
          <t xml:space="preserve">+</t>
        </is>
      </c>
      <c r="J316" s="4">
        <v>0.858</v>
      </c>
    </row>
    <row r="317">
      <c r="A317" s="6" t="inlineStr">
        <is>
          <t xml:space="preserve">HRD-177-26S052587</t>
        </is>
      </c>
      <c r="B317" s="7" t="inlineStr">
        <is>
          <t xml:space="preserve">HRD-177-26S052587</t>
        </is>
      </c>
      <c r="C317" s="7" t="inlineStr">
        <is>
          <t xml:space="preserve">AHL3NVDRX7_1</t>
        </is>
      </c>
      <c r="D317" s="19" t="inlineStr">
        <is>
          <t xml:space="preserve">W0317_BRCA2_E11</t>
        </is>
      </c>
      <c r="E317" s="2">
        <v>3083</v>
      </c>
      <c r="F317" s="20" t="inlineStr">
        <is>
          <t xml:space="preserve">+</t>
        </is>
      </c>
      <c r="G317" s="4">
        <v>1.013</v>
      </c>
      <c r="H317" s="2">
        <v>2320</v>
      </c>
      <c r="I317" s="9" t="inlineStr">
        <is>
          <t xml:space="preserve">+</t>
        </is>
      </c>
      <c r="J317" s="4">
        <v>1.047</v>
      </c>
    </row>
    <row r="318">
      <c r="A318" s="6" t="inlineStr">
        <is>
          <t xml:space="preserve">HRD-177-26S052587</t>
        </is>
      </c>
      <c r="B318" s="7" t="inlineStr">
        <is>
          <t xml:space="preserve">HRD-177-26S052587</t>
        </is>
      </c>
      <c r="C318" s="7" t="inlineStr">
        <is>
          <t xml:space="preserve">AHL3NVDRX7_1</t>
        </is>
      </c>
      <c r="D318" s="19" t="inlineStr">
        <is>
          <t xml:space="preserve">W0318_BRCA2_E11</t>
        </is>
      </c>
      <c r="E318" s="2">
        <v>2921</v>
      </c>
      <c r="F318" s="20" t="inlineStr">
        <is>
          <t xml:space="preserve">+</t>
        </is>
      </c>
      <c r="G318" s="4">
        <v>0.96</v>
      </c>
      <c r="H318" s="2">
        <v>2147</v>
      </c>
      <c r="I318" s="9" t="inlineStr">
        <is>
          <t xml:space="preserve">+</t>
        </is>
      </c>
      <c r="J318" s="4">
        <v>0.969</v>
      </c>
    </row>
    <row r="319">
      <c r="A319" s="6" t="inlineStr">
        <is>
          <t xml:space="preserve">HRD-177-26S052587</t>
        </is>
      </c>
      <c r="B319" s="7" t="inlineStr">
        <is>
          <t xml:space="preserve">HRD-177-26S052587</t>
        </is>
      </c>
      <c r="C319" s="7" t="inlineStr">
        <is>
          <t xml:space="preserve">AHL3NVDRX7_1</t>
        </is>
      </c>
      <c r="D319" s="19" t="inlineStr">
        <is>
          <t xml:space="preserve">W0319_BRCA2_E11</t>
        </is>
      </c>
      <c r="E319" s="2">
        <v>2994</v>
      </c>
      <c r="F319" s="20" t="inlineStr">
        <is>
          <t xml:space="preserve">+</t>
        </is>
      </c>
      <c r="G319" s="4">
        <v>0.984</v>
      </c>
      <c r="H319" s="2">
        <v>2286</v>
      </c>
      <c r="I319" s="9" t="inlineStr">
        <is>
          <t xml:space="preserve">+</t>
        </is>
      </c>
      <c r="J319" s="4">
        <v>1.031</v>
      </c>
    </row>
    <row r="320">
      <c r="A320" s="6" t="inlineStr">
        <is>
          <t xml:space="preserve">HRD-177-26S052587</t>
        </is>
      </c>
      <c r="B320" s="7" t="inlineStr">
        <is>
          <t xml:space="preserve">HRD-177-26S052587</t>
        </is>
      </c>
      <c r="C320" s="7" t="inlineStr">
        <is>
          <t xml:space="preserve">AHL3NVDRX7_1</t>
        </is>
      </c>
      <c r="D320" s="19" t="inlineStr">
        <is>
          <t xml:space="preserve">W0320_BRCA2_E11</t>
        </is>
      </c>
      <c r="E320" s="2">
        <v>3014</v>
      </c>
      <c r="F320" s="20" t="inlineStr">
        <is>
          <t xml:space="preserve">+</t>
        </is>
      </c>
      <c r="G320" s="4">
        <v>0.991</v>
      </c>
      <c r="H320" s="2">
        <v>2243</v>
      </c>
      <c r="I320" s="9" t="inlineStr">
        <is>
          <t xml:space="preserve">+</t>
        </is>
      </c>
      <c r="J320" s="4">
        <v>1.012</v>
      </c>
    </row>
    <row r="321">
      <c r="A321" s="6" t="inlineStr">
        <is>
          <t xml:space="preserve">HRD-177-26S052587</t>
        </is>
      </c>
      <c r="B321" s="7" t="inlineStr">
        <is>
          <t xml:space="preserve">HRD-177-26S052587</t>
        </is>
      </c>
      <c r="C321" s="7" t="inlineStr">
        <is>
          <t xml:space="preserve">AHL3NVDRX7_1</t>
        </is>
      </c>
      <c r="D321" s="19" t="inlineStr">
        <is>
          <t xml:space="preserve">W0321_BRCA2_E11</t>
        </is>
      </c>
      <c r="E321" s="2">
        <v>3074</v>
      </c>
      <c r="F321" s="20" t="inlineStr">
        <is>
          <t xml:space="preserve">+</t>
        </is>
      </c>
      <c r="G321" s="4">
        <v>1.01</v>
      </c>
      <c r="H321" s="2">
        <v>2304</v>
      </c>
      <c r="I321" s="9" t="inlineStr">
        <is>
          <t xml:space="preserve">+</t>
        </is>
      </c>
      <c r="J321" s="4">
        <v>1.039</v>
      </c>
    </row>
    <row r="322">
      <c r="A322" s="6" t="inlineStr">
        <is>
          <t xml:space="preserve">HRD-177-26S052587</t>
        </is>
      </c>
      <c r="B322" s="7" t="inlineStr">
        <is>
          <t xml:space="preserve">HRD-177-26S052587</t>
        </is>
      </c>
      <c r="C322" s="7" t="inlineStr">
        <is>
          <t xml:space="preserve">AHL3NVDRX7_1</t>
        </is>
      </c>
      <c r="D322" s="19" t="inlineStr">
        <is>
          <t xml:space="preserve">W0322_BRCA2_E11</t>
        </is>
      </c>
      <c r="E322" s="2">
        <v>4379</v>
      </c>
      <c r="F322" s="20" t="inlineStr">
        <is>
          <t xml:space="preserve">+</t>
        </is>
      </c>
      <c r="G322" s="4">
        <v>1.439</v>
      </c>
      <c r="H322" s="2">
        <v>3251</v>
      </c>
      <c r="I322" s="9" t="inlineStr">
        <is>
          <t xml:space="preserve">+</t>
        </is>
      </c>
      <c r="J322" s="4">
        <v>1.467</v>
      </c>
    </row>
    <row r="323">
      <c r="A323" s="6" t="inlineStr">
        <is>
          <t xml:space="preserve">HRD-177-26S052587</t>
        </is>
      </c>
      <c r="B323" s="7" t="inlineStr">
        <is>
          <t xml:space="preserve">HRD-177-26S052587</t>
        </is>
      </c>
      <c r="C323" s="7" t="inlineStr">
        <is>
          <t xml:space="preserve">AHL3NVDRX7_1</t>
        </is>
      </c>
      <c r="D323" s="19" t="inlineStr">
        <is>
          <t xml:space="preserve">W0323_BRCA2_E11</t>
        </is>
      </c>
      <c r="E323" s="2">
        <v>2052</v>
      </c>
      <c r="F323" s="20" t="inlineStr">
        <is>
          <t xml:space="preserve">+</t>
        </is>
      </c>
      <c r="G323" s="4">
        <v>0.674</v>
      </c>
      <c r="H323" s="2">
        <v>1556</v>
      </c>
      <c r="I323" s="9" t="inlineStr">
        <is>
          <t xml:space="preserve">+</t>
        </is>
      </c>
      <c r="J323" s="4">
        <v>0.702</v>
      </c>
    </row>
    <row r="324">
      <c r="A324" s="6" t="inlineStr">
        <is>
          <t xml:space="preserve">HRD-177-26S052587</t>
        </is>
      </c>
      <c r="B324" s="7" t="inlineStr">
        <is>
          <t xml:space="preserve">HRD-177-26S052587</t>
        </is>
      </c>
      <c r="C324" s="7" t="inlineStr">
        <is>
          <t xml:space="preserve">AHL3NVDRX7_1</t>
        </is>
      </c>
      <c r="D324" s="19" t="inlineStr">
        <is>
          <t xml:space="preserve">W0324_BRCA2_E11</t>
        </is>
      </c>
      <c r="E324" s="2">
        <v>3102</v>
      </c>
      <c r="F324" s="20" t="inlineStr">
        <is>
          <t xml:space="preserve">+</t>
        </is>
      </c>
      <c r="G324" s="4">
        <v>1.019</v>
      </c>
      <c r="H324" s="2">
        <v>2323</v>
      </c>
      <c r="I324" s="9" t="inlineStr">
        <is>
          <t xml:space="preserve">+</t>
        </is>
      </c>
      <c r="J324" s="4">
        <v>1.048</v>
      </c>
    </row>
    <row r="325">
      <c r="A325" s="6" t="inlineStr">
        <is>
          <t xml:space="preserve">HRD-177-26S052587</t>
        </is>
      </c>
      <c r="B325" s="7" t="inlineStr">
        <is>
          <t xml:space="preserve">HRD-177-26S052587</t>
        </is>
      </c>
      <c r="C325" s="7" t="inlineStr">
        <is>
          <t xml:space="preserve">AHL3NVDRX7_1</t>
        </is>
      </c>
      <c r="D325" s="19" t="inlineStr">
        <is>
          <t xml:space="preserve">W0325_BRCA2_E11</t>
        </is>
      </c>
      <c r="E325" s="2">
        <v>2890</v>
      </c>
      <c r="F325" s="20" t="inlineStr">
        <is>
          <t xml:space="preserve">+</t>
        </is>
      </c>
      <c r="G325" s="4">
        <v>0.95</v>
      </c>
      <c r="H325" s="2">
        <v>2128</v>
      </c>
      <c r="I325" s="9" t="inlineStr">
        <is>
          <t xml:space="preserve">+</t>
        </is>
      </c>
      <c r="J325" s="4">
        <v>0.96</v>
      </c>
    </row>
    <row r="326">
      <c r="A326" s="6" t="inlineStr">
        <is>
          <t xml:space="preserve">HRD-177-26S052587</t>
        </is>
      </c>
      <c r="B326" s="7" t="inlineStr">
        <is>
          <t xml:space="preserve">HRD-177-26S052587</t>
        </is>
      </c>
      <c r="C326" s="7" t="inlineStr">
        <is>
          <t xml:space="preserve">AHL3NVDRX7_1</t>
        </is>
      </c>
      <c r="D326" s="19" t="inlineStr">
        <is>
          <t xml:space="preserve">W0326_BRCA2_E11</t>
        </is>
      </c>
      <c r="E326" s="2">
        <v>4396</v>
      </c>
      <c r="F326" s="20" t="inlineStr">
        <is>
          <t xml:space="preserve">+</t>
        </is>
      </c>
      <c r="G326" s="4">
        <v>1.445</v>
      </c>
      <c r="H326" s="2">
        <v>3241</v>
      </c>
      <c r="I326" s="9" t="inlineStr">
        <is>
          <t xml:space="preserve">+</t>
        </is>
      </c>
      <c r="J326" s="4">
        <v>1.462</v>
      </c>
    </row>
    <row r="327">
      <c r="A327" s="6" t="inlineStr">
        <is>
          <t xml:space="preserve">HRD-177-26S052587</t>
        </is>
      </c>
      <c r="B327" s="7" t="inlineStr">
        <is>
          <t xml:space="preserve">HRD-177-26S052587</t>
        </is>
      </c>
      <c r="C327" s="7" t="inlineStr">
        <is>
          <t xml:space="preserve">AHL3NVDRX7_1</t>
        </is>
      </c>
      <c r="D327" s="19" t="inlineStr">
        <is>
          <t xml:space="preserve">W0327_BRCA2_E11</t>
        </is>
      </c>
      <c r="E327" s="2">
        <v>3325</v>
      </c>
      <c r="F327" s="20" t="inlineStr">
        <is>
          <t xml:space="preserve">+</t>
        </is>
      </c>
      <c r="G327" s="4">
        <v>1.093</v>
      </c>
      <c r="H327" s="2">
        <v>2476</v>
      </c>
      <c r="I327" s="9" t="inlineStr">
        <is>
          <t xml:space="preserve">+</t>
        </is>
      </c>
      <c r="J327" s="4">
        <v>1.117</v>
      </c>
    </row>
    <row r="328">
      <c r="A328" s="6" t="inlineStr">
        <is>
          <t xml:space="preserve">HRD-177-26S052587</t>
        </is>
      </c>
      <c r="B328" s="7" t="inlineStr">
        <is>
          <t xml:space="preserve">HRD-177-26S052587</t>
        </is>
      </c>
      <c r="C328" s="7" t="inlineStr">
        <is>
          <t xml:space="preserve">AHL3NVDRX7_1</t>
        </is>
      </c>
      <c r="D328" s="19" t="inlineStr">
        <is>
          <t xml:space="preserve">W0328_BRCA2_E11</t>
        </is>
      </c>
      <c r="E328" s="2">
        <v>3681</v>
      </c>
      <c r="F328" s="20" t="inlineStr">
        <is>
          <t xml:space="preserve">+</t>
        </is>
      </c>
      <c r="G328" s="4">
        <v>1.21</v>
      </c>
      <c r="H328" s="2">
        <v>2747</v>
      </c>
      <c r="I328" s="9" t="inlineStr">
        <is>
          <t xml:space="preserve">+</t>
        </is>
      </c>
      <c r="J328" s="4">
        <v>1.239</v>
      </c>
    </row>
    <row r="329">
      <c r="A329" s="6" t="inlineStr">
        <is>
          <t xml:space="preserve">HRD-177-26S052587</t>
        </is>
      </c>
      <c r="B329" s="7" t="inlineStr">
        <is>
          <t xml:space="preserve">HRD-177-26S052587</t>
        </is>
      </c>
      <c r="C329" s="7" t="inlineStr">
        <is>
          <t xml:space="preserve">AHL3NVDRX7_1</t>
        </is>
      </c>
      <c r="D329" s="19" t="inlineStr">
        <is>
          <t xml:space="preserve">W0329_BRCA2_E11</t>
        </is>
      </c>
      <c r="E329" s="2">
        <v>2760</v>
      </c>
      <c r="F329" s="20" t="inlineStr">
        <is>
          <t xml:space="preserve">+</t>
        </is>
      </c>
      <c r="G329" s="4">
        <v>0.907</v>
      </c>
      <c r="H329" s="2">
        <v>2107</v>
      </c>
      <c r="I329" s="9" t="inlineStr">
        <is>
          <t xml:space="preserve">+</t>
        </is>
      </c>
      <c r="J329" s="4">
        <v>0.951</v>
      </c>
    </row>
    <row r="330">
      <c r="A330" s="6" t="inlineStr">
        <is>
          <t xml:space="preserve">HRD-177-26S052587</t>
        </is>
      </c>
      <c r="B330" s="7" t="inlineStr">
        <is>
          <t xml:space="preserve">HRD-177-26S052587</t>
        </is>
      </c>
      <c r="C330" s="7" t="inlineStr">
        <is>
          <t xml:space="preserve">AHL3NVDRX7_1</t>
        </is>
      </c>
      <c r="D330" s="19" t="inlineStr">
        <is>
          <t xml:space="preserve">W0330_BRCA2_E11</t>
        </is>
      </c>
      <c r="E330" s="2">
        <v>2714</v>
      </c>
      <c r="F330" s="20" t="inlineStr">
        <is>
          <t xml:space="preserve">+</t>
        </is>
      </c>
      <c r="G330" s="4">
        <v>0.892</v>
      </c>
      <c r="H330" s="2">
        <v>2057</v>
      </c>
      <c r="I330" s="9" t="inlineStr">
        <is>
          <t xml:space="preserve">+</t>
        </is>
      </c>
      <c r="J330" s="4">
        <v>0.928</v>
      </c>
    </row>
    <row r="331">
      <c r="A331" s="6" t="inlineStr">
        <is>
          <t xml:space="preserve">HRD-177-26S052587</t>
        </is>
      </c>
      <c r="B331" s="7" t="inlineStr">
        <is>
          <t xml:space="preserve">HRD-177-26S052587</t>
        </is>
      </c>
      <c r="C331" s="7" t="inlineStr">
        <is>
          <t xml:space="preserve">AHL3NVDRX7_1</t>
        </is>
      </c>
      <c r="D331" s="19" t="inlineStr">
        <is>
          <t xml:space="preserve">W0331_BRCA2_E11</t>
        </is>
      </c>
      <c r="E331" s="2">
        <v>3363</v>
      </c>
      <c r="F331" s="20" t="inlineStr">
        <is>
          <t xml:space="preserve">+</t>
        </is>
      </c>
      <c r="G331" s="4">
        <v>1.105</v>
      </c>
      <c r="H331" s="2">
        <v>2478</v>
      </c>
      <c r="I331" s="9" t="inlineStr">
        <is>
          <t xml:space="preserve">+</t>
        </is>
      </c>
      <c r="J331" s="4">
        <v>1.118</v>
      </c>
    </row>
    <row r="332">
      <c r="A332" s="6" t="inlineStr">
        <is>
          <t xml:space="preserve">HRD-177-26S052587</t>
        </is>
      </c>
      <c r="B332" s="7" t="inlineStr">
        <is>
          <t xml:space="preserve">HRD-177-26S052587</t>
        </is>
      </c>
      <c r="C332" s="7" t="inlineStr">
        <is>
          <t xml:space="preserve">AHL3NVDRX7_1</t>
        </is>
      </c>
      <c r="D332" s="19" t="inlineStr">
        <is>
          <t xml:space="preserve">W0332_BRCA2_E11</t>
        </is>
      </c>
      <c r="E332" s="2">
        <v>2395</v>
      </c>
      <c r="F332" s="20" t="inlineStr">
        <is>
          <t xml:space="preserve">+</t>
        </is>
      </c>
      <c r="G332" s="4">
        <v>0.787</v>
      </c>
      <c r="H332" s="2">
        <v>1848</v>
      </c>
      <c r="I332" s="9" t="inlineStr">
        <is>
          <t xml:space="preserve">+</t>
        </is>
      </c>
      <c r="J332" s="4">
        <v>0.834</v>
      </c>
    </row>
    <row r="333">
      <c r="A333" s="6" t="inlineStr">
        <is>
          <t xml:space="preserve">HRD-177-26S052587</t>
        </is>
      </c>
      <c r="B333" s="7" t="inlineStr">
        <is>
          <t xml:space="preserve">HRD-177-26S052587</t>
        </is>
      </c>
      <c r="C333" s="7" t="inlineStr">
        <is>
          <t xml:space="preserve">AHL3NVDRX7_1</t>
        </is>
      </c>
      <c r="D333" s="19" t="inlineStr">
        <is>
          <t xml:space="preserve">W0333_BRCA2_E11</t>
        </is>
      </c>
      <c r="E333" s="2">
        <v>3564</v>
      </c>
      <c r="F333" s="20" t="inlineStr">
        <is>
          <t xml:space="preserve">+</t>
        </is>
      </c>
      <c r="G333" s="4">
        <v>1.171</v>
      </c>
      <c r="H333" s="2">
        <v>2672</v>
      </c>
      <c r="I333" s="9" t="inlineStr">
        <is>
          <t xml:space="preserve">+</t>
        </is>
      </c>
      <c r="J333" s="4">
        <v>1.205</v>
      </c>
    </row>
    <row r="334">
      <c r="A334" s="6" t="inlineStr">
        <is>
          <t xml:space="preserve">HRD-177-26S052587</t>
        </is>
      </c>
      <c r="B334" s="7" t="inlineStr">
        <is>
          <t xml:space="preserve">HRD-177-26S052587</t>
        </is>
      </c>
      <c r="C334" s="7" t="inlineStr">
        <is>
          <t xml:space="preserve">AHL3NVDRX7_1</t>
        </is>
      </c>
      <c r="D334" s="19" t="inlineStr">
        <is>
          <t xml:space="preserve">W0334_BRCA2_E11</t>
        </is>
      </c>
      <c r="E334" s="2">
        <v>3854</v>
      </c>
      <c r="F334" s="20" t="inlineStr">
        <is>
          <t xml:space="preserve">+</t>
        </is>
      </c>
      <c r="G334" s="4">
        <v>1.267</v>
      </c>
      <c r="H334" s="2">
        <v>2872</v>
      </c>
      <c r="I334" s="9" t="inlineStr">
        <is>
          <t xml:space="preserve">+</t>
        </is>
      </c>
      <c r="J334" s="4">
        <v>1.296</v>
      </c>
    </row>
    <row r="335">
      <c r="A335" s="6" t="inlineStr">
        <is>
          <t xml:space="preserve">HRD-177-26S052587</t>
        </is>
      </c>
      <c r="B335" s="7" t="inlineStr">
        <is>
          <t xml:space="preserve">HRD-177-26S052587</t>
        </is>
      </c>
      <c r="C335" s="7" t="inlineStr">
        <is>
          <t xml:space="preserve">AHL3NVDRX7_1</t>
        </is>
      </c>
      <c r="D335" s="19" t="inlineStr">
        <is>
          <t xml:space="preserve">W0335_BRCA2_E12</t>
        </is>
      </c>
      <c r="E335" s="2">
        <v>2025</v>
      </c>
      <c r="F335" s="20" t="inlineStr">
        <is>
          <t xml:space="preserve">+</t>
        </is>
      </c>
      <c r="G335" s="4">
        <v>0.666</v>
      </c>
      <c r="H335" s="2">
        <v>1565</v>
      </c>
      <c r="I335" s="9" t="inlineStr">
        <is>
          <t xml:space="preserve">+</t>
        </is>
      </c>
      <c r="J335" s="4">
        <v>0.706</v>
      </c>
    </row>
    <row r="336">
      <c r="A336" s="6" t="inlineStr">
        <is>
          <t xml:space="preserve">HRD-177-26S052587</t>
        </is>
      </c>
      <c r="B336" s="7" t="inlineStr">
        <is>
          <t xml:space="preserve">HRD-177-26S052587</t>
        </is>
      </c>
      <c r="C336" s="7" t="inlineStr">
        <is>
          <t xml:space="preserve">AHL3NVDRX7_1</t>
        </is>
      </c>
      <c r="D336" s="19" t="inlineStr">
        <is>
          <t xml:space="preserve">W0336_BRCA2_E12</t>
        </is>
      </c>
      <c r="E336" s="2">
        <v>2886</v>
      </c>
      <c r="F336" s="20" t="inlineStr">
        <is>
          <t xml:space="preserve">+</t>
        </is>
      </c>
      <c r="G336" s="4">
        <v>0.948</v>
      </c>
      <c r="H336" s="2">
        <v>2209</v>
      </c>
      <c r="I336" s="9" t="inlineStr">
        <is>
          <t xml:space="preserve">+</t>
        </is>
      </c>
      <c r="J336" s="4">
        <v>0.997</v>
      </c>
    </row>
    <row r="337">
      <c r="A337" s="6" t="inlineStr">
        <is>
          <t xml:space="preserve">HRD-177-26S052587</t>
        </is>
      </c>
      <c r="B337" s="7" t="inlineStr">
        <is>
          <t xml:space="preserve">HRD-177-26S052587</t>
        </is>
      </c>
      <c r="C337" s="7" t="inlineStr">
        <is>
          <t xml:space="preserve">AHL3NVDRX7_1</t>
        </is>
      </c>
      <c r="D337" s="19" t="inlineStr">
        <is>
          <t xml:space="preserve">W0337_BRCA2_E13</t>
        </is>
      </c>
      <c r="E337" s="2">
        <v>3827</v>
      </c>
      <c r="F337" s="20" t="inlineStr">
        <is>
          <t xml:space="preserve">+</t>
        </is>
      </c>
      <c r="G337" s="4">
        <v>1.258</v>
      </c>
      <c r="H337" s="2">
        <v>2870</v>
      </c>
      <c r="I337" s="9" t="inlineStr">
        <is>
          <t xml:space="preserve">+</t>
        </is>
      </c>
      <c r="J337" s="4">
        <v>1.295</v>
      </c>
    </row>
    <row r="338">
      <c r="A338" s="6" t="inlineStr">
        <is>
          <t xml:space="preserve">HRD-177-26S052587</t>
        </is>
      </c>
      <c r="B338" s="7" t="inlineStr">
        <is>
          <t xml:space="preserve">HRD-177-26S052587</t>
        </is>
      </c>
      <c r="C338" s="7" t="inlineStr">
        <is>
          <t xml:space="preserve">AHL3NVDRX7_1</t>
        </is>
      </c>
      <c r="D338" s="19" t="inlineStr">
        <is>
          <t xml:space="preserve">W0338_BRCA2_E13</t>
        </is>
      </c>
      <c r="E338" s="2">
        <v>5397</v>
      </c>
      <c r="F338" s="20" t="inlineStr">
        <is>
          <t xml:space="preserve">+</t>
        </is>
      </c>
      <c r="G338" s="4">
        <v>1.774</v>
      </c>
      <c r="H338" s="2">
        <v>3830</v>
      </c>
      <c r="I338" s="9" t="inlineStr">
        <is>
          <t xml:space="preserve">+</t>
        </is>
      </c>
      <c r="J338" s="4">
        <v>1.728</v>
      </c>
    </row>
    <row r="339">
      <c r="A339" s="6" t="inlineStr">
        <is>
          <t xml:space="preserve">HRD-177-26S052587</t>
        </is>
      </c>
      <c r="B339" s="7" t="inlineStr">
        <is>
          <t xml:space="preserve">HRD-177-26S052587</t>
        </is>
      </c>
      <c r="C339" s="7" t="inlineStr">
        <is>
          <t xml:space="preserve">AHL3NVDRX7_1</t>
        </is>
      </c>
      <c r="D339" s="19" t="inlineStr">
        <is>
          <t xml:space="preserve">W0339_BRCA2_E14</t>
        </is>
      </c>
      <c r="E339" s="2">
        <v>2292</v>
      </c>
      <c r="F339" s="20" t="inlineStr">
        <is>
          <t xml:space="preserve">+</t>
        </is>
      </c>
      <c r="G339" s="4">
        <v>0.753</v>
      </c>
      <c r="H339" s="2">
        <v>1747</v>
      </c>
      <c r="I339" s="9" t="inlineStr">
        <is>
          <t xml:space="preserve">+</t>
        </is>
      </c>
      <c r="J339" s="4">
        <v>0.788</v>
      </c>
    </row>
    <row r="340">
      <c r="A340" s="6" t="inlineStr">
        <is>
          <t xml:space="preserve">HRD-177-26S052587</t>
        </is>
      </c>
      <c r="B340" s="7" t="inlineStr">
        <is>
          <t xml:space="preserve">HRD-177-26S052587</t>
        </is>
      </c>
      <c r="C340" s="7" t="inlineStr">
        <is>
          <t xml:space="preserve">AHL3NVDRX7_1</t>
        </is>
      </c>
      <c r="D340" s="19" t="inlineStr">
        <is>
          <t xml:space="preserve">W0340_BRCA2_E14</t>
        </is>
      </c>
      <c r="E340" s="2">
        <v>2964</v>
      </c>
      <c r="F340" s="20" t="inlineStr">
        <is>
          <t xml:space="preserve">+</t>
        </is>
      </c>
      <c r="G340" s="4">
        <v>0.974</v>
      </c>
      <c r="H340" s="2">
        <v>2227</v>
      </c>
      <c r="I340" s="9" t="inlineStr">
        <is>
          <t xml:space="preserve">+</t>
        </is>
      </c>
      <c r="J340" s="4">
        <v>1.005</v>
      </c>
    </row>
    <row r="341">
      <c r="A341" s="6" t="inlineStr">
        <is>
          <t xml:space="preserve">HRD-177-26S052587</t>
        </is>
      </c>
      <c r="B341" s="7" t="inlineStr">
        <is>
          <t xml:space="preserve">HRD-177-26S052587</t>
        </is>
      </c>
      <c r="C341" s="7" t="inlineStr">
        <is>
          <t xml:space="preserve">AHL3NVDRX7_1</t>
        </is>
      </c>
      <c r="D341" s="19" t="inlineStr">
        <is>
          <t xml:space="preserve">W0341_BRCA2_E14</t>
        </is>
      </c>
      <c r="E341" s="2">
        <v>3680</v>
      </c>
      <c r="F341" s="20" t="inlineStr">
        <is>
          <t xml:space="preserve">+</t>
        </is>
      </c>
      <c r="G341" s="4">
        <v>1.209</v>
      </c>
      <c r="H341" s="2">
        <v>2583</v>
      </c>
      <c r="I341" s="9" t="inlineStr">
        <is>
          <t xml:space="preserve">+</t>
        </is>
      </c>
      <c r="J341" s="4">
        <v>1.165</v>
      </c>
    </row>
    <row r="342">
      <c r="A342" s="6" t="inlineStr">
        <is>
          <t xml:space="preserve">HRD-177-26S052587</t>
        </is>
      </c>
      <c r="B342" s="7" t="inlineStr">
        <is>
          <t xml:space="preserve">HRD-177-26S052587</t>
        </is>
      </c>
      <c r="C342" s="7" t="inlineStr">
        <is>
          <t xml:space="preserve">AHL3NVDRX7_1</t>
        </is>
      </c>
      <c r="D342" s="19" t="inlineStr">
        <is>
          <t xml:space="preserve">W0342_BRCA2_E14</t>
        </is>
      </c>
      <c r="E342" s="2">
        <v>3789</v>
      </c>
      <c r="F342" s="20" t="inlineStr">
        <is>
          <t xml:space="preserve">+</t>
        </is>
      </c>
      <c r="G342" s="4">
        <v>1.245</v>
      </c>
      <c r="H342" s="2">
        <v>2737</v>
      </c>
      <c r="I342" s="9" t="inlineStr">
        <is>
          <t xml:space="preserve">+</t>
        </is>
      </c>
      <c r="J342" s="4">
        <v>1.235</v>
      </c>
    </row>
    <row r="343">
      <c r="A343" s="6" t="inlineStr">
        <is>
          <t xml:space="preserve">HRD-177-26S052587</t>
        </is>
      </c>
      <c r="B343" s="7" t="inlineStr">
        <is>
          <t xml:space="preserve">HRD-177-26S052587</t>
        </is>
      </c>
      <c r="C343" s="7" t="inlineStr">
        <is>
          <t xml:space="preserve">AHL3NVDRX7_1</t>
        </is>
      </c>
      <c r="D343" s="19" t="inlineStr">
        <is>
          <t xml:space="preserve">W0343_BRCA2_E14</t>
        </is>
      </c>
      <c r="E343" s="2">
        <v>4290</v>
      </c>
      <c r="F343" s="20" t="inlineStr">
        <is>
          <t xml:space="preserve">+</t>
        </is>
      </c>
      <c r="G343" s="4">
        <v>1.41</v>
      </c>
      <c r="H343" s="2">
        <v>3081</v>
      </c>
      <c r="I343" s="9" t="inlineStr">
        <is>
          <t xml:space="preserve">+</t>
        </is>
      </c>
      <c r="J343" s="4">
        <v>1.39</v>
      </c>
    </row>
    <row r="344">
      <c r="A344" s="6" t="inlineStr">
        <is>
          <t xml:space="preserve">HRD-177-26S052587</t>
        </is>
      </c>
      <c r="B344" s="7" t="inlineStr">
        <is>
          <t xml:space="preserve">HRD-177-26S052587</t>
        </is>
      </c>
      <c r="C344" s="7" t="inlineStr">
        <is>
          <t xml:space="preserve">AHL3NVDRX7_1</t>
        </is>
      </c>
      <c r="D344" s="19" t="inlineStr">
        <is>
          <t xml:space="preserve">W0344_BRCA2_E14</t>
        </is>
      </c>
      <c r="E344" s="2">
        <v>5267</v>
      </c>
      <c r="F344" s="20" t="inlineStr">
        <is>
          <t xml:space="preserve">+</t>
        </is>
      </c>
      <c r="G344" s="4">
        <v>1.731</v>
      </c>
      <c r="H344" s="2">
        <v>3540</v>
      </c>
      <c r="I344" s="9" t="inlineStr">
        <is>
          <t xml:space="preserve">+</t>
        </is>
      </c>
      <c r="J344" s="4">
        <v>1.597</v>
      </c>
    </row>
    <row r="345">
      <c r="A345" s="6" t="inlineStr">
        <is>
          <t xml:space="preserve">HRD-177-26S052587</t>
        </is>
      </c>
      <c r="B345" s="7" t="inlineStr">
        <is>
          <t xml:space="preserve">HRD-177-26S052587</t>
        </is>
      </c>
      <c r="C345" s="7" t="inlineStr">
        <is>
          <t xml:space="preserve">AHL3NVDRX7_1</t>
        </is>
      </c>
      <c r="D345" s="19" t="inlineStr">
        <is>
          <t xml:space="preserve">W0345_BRCA2_E15</t>
        </is>
      </c>
      <c r="E345" s="2">
        <v>2277</v>
      </c>
      <c r="F345" s="20" t="inlineStr">
        <is>
          <t xml:space="preserve">+</t>
        </is>
      </c>
      <c r="G345" s="4">
        <v>0.748</v>
      </c>
      <c r="H345" s="2">
        <v>1727</v>
      </c>
      <c r="I345" s="9" t="inlineStr">
        <is>
          <t xml:space="preserve">+</t>
        </is>
      </c>
      <c r="J345" s="4">
        <v>0.779</v>
      </c>
    </row>
    <row r="346">
      <c r="A346" s="6" t="inlineStr">
        <is>
          <t xml:space="preserve">HRD-177-26S052587</t>
        </is>
      </c>
      <c r="B346" s="7" t="inlineStr">
        <is>
          <t xml:space="preserve">HRD-177-26S052587</t>
        </is>
      </c>
      <c r="C346" s="7" t="inlineStr">
        <is>
          <t xml:space="preserve">AHL3NVDRX7_1</t>
        </is>
      </c>
      <c r="D346" s="19" t="inlineStr">
        <is>
          <t xml:space="preserve">W0346_BRCA2_E15</t>
        </is>
      </c>
      <c r="E346" s="2">
        <v>4739</v>
      </c>
      <c r="F346" s="20" t="inlineStr">
        <is>
          <t xml:space="preserve">+</t>
        </is>
      </c>
      <c r="G346" s="4">
        <v>1.557</v>
      </c>
      <c r="H346" s="2">
        <v>3174</v>
      </c>
      <c r="I346" s="9" t="inlineStr">
        <is>
          <t xml:space="preserve">+</t>
        </is>
      </c>
      <c r="J346" s="4">
        <v>1.432</v>
      </c>
    </row>
    <row r="347">
      <c r="A347" s="6" t="inlineStr">
        <is>
          <t xml:space="preserve">HRD-177-26S052587</t>
        </is>
      </c>
      <c r="B347" s="7" t="inlineStr">
        <is>
          <t xml:space="preserve">HRD-177-26S052587</t>
        </is>
      </c>
      <c r="C347" s="7" t="inlineStr">
        <is>
          <t xml:space="preserve">AHL3NVDRX7_1</t>
        </is>
      </c>
      <c r="D347" s="19" t="inlineStr">
        <is>
          <t xml:space="preserve">W0347_BRCA2_E15</t>
        </is>
      </c>
      <c r="E347" s="2">
        <v>5637</v>
      </c>
      <c r="F347" s="20" t="inlineStr">
        <is>
          <t xml:space="preserve">+</t>
        </is>
      </c>
      <c r="G347" s="4">
        <v>1.853</v>
      </c>
      <c r="H347" s="2">
        <v>3858</v>
      </c>
      <c r="I347" s="9" t="inlineStr">
        <is>
          <t xml:space="preserve">+</t>
        </is>
      </c>
      <c r="J347" s="4">
        <v>1.74</v>
      </c>
    </row>
    <row r="348">
      <c r="A348" s="6" t="inlineStr">
        <is>
          <t xml:space="preserve">HRD-177-26S052587</t>
        </is>
      </c>
      <c r="B348" s="7" t="inlineStr">
        <is>
          <t xml:space="preserve">HRD-177-26S052587</t>
        </is>
      </c>
      <c r="C348" s="7" t="inlineStr">
        <is>
          <t xml:space="preserve">AHL3NVDRX7_1</t>
        </is>
      </c>
      <c r="D348" s="19" t="inlineStr">
        <is>
          <t xml:space="preserve">W0348_BRCA2_E16</t>
        </is>
      </c>
      <c r="E348" s="2">
        <v>2046</v>
      </c>
      <c r="F348" s="20" t="inlineStr">
        <is>
          <t xml:space="preserve">+</t>
        </is>
      </c>
      <c r="G348" s="4">
        <v>0.672</v>
      </c>
      <c r="H348" s="2">
        <v>1562</v>
      </c>
      <c r="I348" s="9" t="inlineStr">
        <is>
          <t xml:space="preserve">+</t>
        </is>
      </c>
      <c r="J348" s="4">
        <v>0.705</v>
      </c>
    </row>
    <row r="349">
      <c r="A349" s="6" t="inlineStr">
        <is>
          <t xml:space="preserve">HRD-177-26S052587</t>
        </is>
      </c>
      <c r="B349" s="7" t="inlineStr">
        <is>
          <t xml:space="preserve">HRD-177-26S052587</t>
        </is>
      </c>
      <c r="C349" s="7" t="inlineStr">
        <is>
          <t xml:space="preserve">AHL3NVDRX7_1</t>
        </is>
      </c>
      <c r="D349" s="19" t="inlineStr">
        <is>
          <t xml:space="preserve">W0349_BRCA2_E16</t>
        </is>
      </c>
      <c r="E349" s="2">
        <v>4356</v>
      </c>
      <c r="F349" s="20" t="inlineStr">
        <is>
          <t xml:space="preserve">+</t>
        </is>
      </c>
      <c r="G349" s="4">
        <v>1.432</v>
      </c>
      <c r="H349" s="2">
        <v>3101</v>
      </c>
      <c r="I349" s="9" t="inlineStr">
        <is>
          <t xml:space="preserve">+</t>
        </is>
      </c>
      <c r="J349" s="4">
        <v>1.399</v>
      </c>
    </row>
    <row r="350">
      <c r="A350" s="6" t="inlineStr">
        <is>
          <t xml:space="preserve">HRD-177-26S052587</t>
        </is>
      </c>
      <c r="B350" s="7" t="inlineStr">
        <is>
          <t xml:space="preserve">HRD-177-26S052587</t>
        </is>
      </c>
      <c r="C350" s="7" t="inlineStr">
        <is>
          <t xml:space="preserve">AHL3NVDRX7_1</t>
        </is>
      </c>
      <c r="D350" s="19" t="inlineStr">
        <is>
          <t xml:space="preserve">W0350_BRCA2_E16</t>
        </is>
      </c>
      <c r="E350" s="2">
        <v>3450</v>
      </c>
      <c r="F350" s="20" t="inlineStr">
        <is>
          <t xml:space="preserve">+</t>
        </is>
      </c>
      <c r="G350" s="4">
        <v>1.134</v>
      </c>
      <c r="H350" s="2">
        <v>2585</v>
      </c>
      <c r="I350" s="9" t="inlineStr">
        <is>
          <t xml:space="preserve">+</t>
        </is>
      </c>
      <c r="J350" s="4">
        <v>1.166</v>
      </c>
    </row>
    <row r="351">
      <c r="A351" s="6" t="inlineStr">
        <is>
          <t xml:space="preserve">HRD-177-26S052587</t>
        </is>
      </c>
      <c r="B351" s="7" t="inlineStr">
        <is>
          <t xml:space="preserve">HRD-177-26S052587</t>
        </is>
      </c>
      <c r="C351" s="7" t="inlineStr">
        <is>
          <t xml:space="preserve">AHL3NVDRX7_1</t>
        </is>
      </c>
      <c r="D351" s="19" t="inlineStr">
        <is>
          <t xml:space="preserve">W0351_BRCA2_E17</t>
        </is>
      </c>
      <c r="E351" s="2">
        <v>2420</v>
      </c>
      <c r="F351" s="20" t="inlineStr">
        <is>
          <t xml:space="preserve">+</t>
        </is>
      </c>
      <c r="G351" s="4">
        <v>0.795</v>
      </c>
      <c r="H351" s="2">
        <v>1771</v>
      </c>
      <c r="I351" s="9" t="inlineStr">
        <is>
          <t xml:space="preserve">+</t>
        </is>
      </c>
      <c r="J351" s="4">
        <v>0.799</v>
      </c>
    </row>
    <row r="352">
      <c r="A352" s="6" t="inlineStr">
        <is>
          <t xml:space="preserve">HRD-177-26S052587</t>
        </is>
      </c>
      <c r="B352" s="7" t="inlineStr">
        <is>
          <t xml:space="preserve">HRD-177-26S052587</t>
        </is>
      </c>
      <c r="C352" s="7" t="inlineStr">
        <is>
          <t xml:space="preserve">AHL3NVDRX7_1</t>
        </is>
      </c>
      <c r="D352" s="19" t="inlineStr">
        <is>
          <t xml:space="preserve">W0352_BRCA2_E17</t>
        </is>
      </c>
      <c r="E352" s="2">
        <v>3760</v>
      </c>
      <c r="F352" s="20" t="inlineStr">
        <is>
          <t xml:space="preserve">+</t>
        </is>
      </c>
      <c r="G352" s="4">
        <v>1.236</v>
      </c>
      <c r="H352" s="2">
        <v>2649</v>
      </c>
      <c r="I352" s="9" t="inlineStr">
        <is>
          <t xml:space="preserve">+</t>
        </is>
      </c>
      <c r="J352" s="4">
        <v>1.195</v>
      </c>
    </row>
    <row r="353">
      <c r="A353" s="6" t="inlineStr">
        <is>
          <t xml:space="preserve">HRD-177-26S052587</t>
        </is>
      </c>
      <c r="B353" s="7" t="inlineStr">
        <is>
          <t xml:space="preserve">HRD-177-26S052587</t>
        </is>
      </c>
      <c r="C353" s="7" t="inlineStr">
        <is>
          <t xml:space="preserve">AHL3NVDRX7_1</t>
        </is>
      </c>
      <c r="D353" s="19" t="inlineStr">
        <is>
          <t xml:space="preserve">W0353_BRCA2_E17</t>
        </is>
      </c>
      <c r="E353" s="2">
        <v>3899</v>
      </c>
      <c r="F353" s="20" t="inlineStr">
        <is>
          <t xml:space="preserve">+</t>
        </is>
      </c>
      <c r="G353" s="4">
        <v>1.281</v>
      </c>
      <c r="H353" s="2">
        <v>2816</v>
      </c>
      <c r="I353" s="9" t="inlineStr">
        <is>
          <t xml:space="preserve">+</t>
        </is>
      </c>
      <c r="J353" s="4">
        <v>1.27</v>
      </c>
    </row>
    <row r="354">
      <c r="A354" s="6" t="inlineStr">
        <is>
          <t xml:space="preserve">HRD-177-26S052587</t>
        </is>
      </c>
      <c r="B354" s="7" t="inlineStr">
        <is>
          <t xml:space="preserve">HRD-177-26S052587</t>
        </is>
      </c>
      <c r="C354" s="7" t="inlineStr">
        <is>
          <t xml:space="preserve">AHL3NVDRX7_1</t>
        </is>
      </c>
      <c r="D354" s="19" t="inlineStr">
        <is>
          <t xml:space="preserve">W0354_BRCA2_E18</t>
        </is>
      </c>
      <c r="E354" s="2">
        <v>1717</v>
      </c>
      <c r="F354" s="20" t="inlineStr">
        <is>
          <t xml:space="preserve">+</t>
        </is>
      </c>
      <c r="G354" s="4">
        <v>0.564</v>
      </c>
      <c r="H354" s="2">
        <v>1346</v>
      </c>
      <c r="I354" s="9" t="inlineStr">
        <is>
          <t xml:space="preserve">+</t>
        </is>
      </c>
      <c r="J354" s="4">
        <v>0.607</v>
      </c>
    </row>
    <row r="355">
      <c r="A355" s="6" t="inlineStr">
        <is>
          <t xml:space="preserve">HRD-177-26S052587</t>
        </is>
      </c>
      <c r="B355" s="7" t="inlineStr">
        <is>
          <t xml:space="preserve">HRD-177-26S052587</t>
        </is>
      </c>
      <c r="C355" s="7" t="inlineStr">
        <is>
          <t xml:space="preserve">AHL3NVDRX7_1</t>
        </is>
      </c>
      <c r="D355" s="19" t="inlineStr">
        <is>
          <t xml:space="preserve">W0355_BRCA2_E18</t>
        </is>
      </c>
      <c r="E355" s="2">
        <v>3463</v>
      </c>
      <c r="F355" s="20" t="inlineStr">
        <is>
          <t xml:space="preserve">+</t>
        </is>
      </c>
      <c r="G355" s="4">
        <v>1.138</v>
      </c>
      <c r="H355" s="2">
        <v>2586</v>
      </c>
      <c r="I355" s="9" t="inlineStr">
        <is>
          <t xml:space="preserve">+</t>
        </is>
      </c>
      <c r="J355" s="4">
        <v>1.167</v>
      </c>
    </row>
    <row r="356">
      <c r="A356" s="6" t="inlineStr">
        <is>
          <t xml:space="preserve">HRD-177-26S052587</t>
        </is>
      </c>
      <c r="B356" s="7" t="inlineStr">
        <is>
          <t xml:space="preserve">HRD-177-26S052587</t>
        </is>
      </c>
      <c r="C356" s="7" t="inlineStr">
        <is>
          <t xml:space="preserve">AHL3NVDRX7_1</t>
        </is>
      </c>
      <c r="D356" s="19" t="inlineStr">
        <is>
          <t xml:space="preserve">W0356_BRCA2_E18</t>
        </is>
      </c>
      <c r="E356" s="2">
        <v>4071</v>
      </c>
      <c r="F356" s="20" t="inlineStr">
        <is>
          <t xml:space="preserve">+</t>
        </is>
      </c>
      <c r="G356" s="4">
        <v>1.338</v>
      </c>
      <c r="H356" s="2">
        <v>2994</v>
      </c>
      <c r="I356" s="9" t="inlineStr">
        <is>
          <t xml:space="preserve">+</t>
        </is>
      </c>
      <c r="J356" s="4">
        <v>1.351</v>
      </c>
    </row>
    <row r="357">
      <c r="A357" s="6" t="inlineStr">
        <is>
          <t xml:space="preserve">HRD-177-26S052587</t>
        </is>
      </c>
      <c r="B357" s="7" t="inlineStr">
        <is>
          <t xml:space="preserve">HRD-177-26S052587</t>
        </is>
      </c>
      <c r="C357" s="7" t="inlineStr">
        <is>
          <t xml:space="preserve">AHL3NVDRX7_1</t>
        </is>
      </c>
      <c r="D357" s="19" t="inlineStr">
        <is>
          <t xml:space="preserve">W0357_BRCA2_E18</t>
        </is>
      </c>
      <c r="E357" s="2">
        <v>2027</v>
      </c>
      <c r="F357" s="20" t="inlineStr">
        <is>
          <t xml:space="preserve">+</t>
        </is>
      </c>
      <c r="G357" s="4">
        <v>0.666</v>
      </c>
      <c r="H357" s="2">
        <v>1512</v>
      </c>
      <c r="I357" s="9" t="inlineStr">
        <is>
          <t xml:space="preserve">+</t>
        </is>
      </c>
      <c r="J357" s="4">
        <v>0.682</v>
      </c>
    </row>
    <row r="358">
      <c r="A358" s="6" t="inlineStr">
        <is>
          <t xml:space="preserve">HRD-177-26S052587</t>
        </is>
      </c>
      <c r="B358" s="7" t="inlineStr">
        <is>
          <t xml:space="preserve">HRD-177-26S052587</t>
        </is>
      </c>
      <c r="C358" s="7" t="inlineStr">
        <is>
          <t xml:space="preserve">AHL3NVDRX7_1</t>
        </is>
      </c>
      <c r="D358" s="19" t="inlineStr">
        <is>
          <t xml:space="preserve">W0358_BRCA2_E19</t>
        </is>
      </c>
      <c r="E358" s="2">
        <v>1982</v>
      </c>
      <c r="F358" s="20" t="inlineStr">
        <is>
          <t xml:space="preserve">+</t>
        </is>
      </c>
      <c r="G358" s="4">
        <v>0.651</v>
      </c>
      <c r="H358" s="2">
        <v>1518</v>
      </c>
      <c r="I358" s="9" t="inlineStr">
        <is>
          <t xml:space="preserve">+</t>
        </is>
      </c>
      <c r="J358" s="4">
        <v>0.685</v>
      </c>
    </row>
    <row r="359">
      <c r="A359" s="6" t="inlineStr">
        <is>
          <t xml:space="preserve">HRD-177-26S052587</t>
        </is>
      </c>
      <c r="B359" s="7" t="inlineStr">
        <is>
          <t xml:space="preserve">HRD-177-26S052587</t>
        </is>
      </c>
      <c r="C359" s="7" t="inlineStr">
        <is>
          <t xml:space="preserve">AHL3NVDRX7_1</t>
        </is>
      </c>
      <c r="D359" s="19" t="inlineStr">
        <is>
          <t xml:space="preserve">W0359_BRCA2_E19</t>
        </is>
      </c>
      <c r="E359" s="2">
        <v>3361</v>
      </c>
      <c r="F359" s="20" t="inlineStr">
        <is>
          <t xml:space="preserve">+</t>
        </is>
      </c>
      <c r="G359" s="4">
        <v>1.105</v>
      </c>
      <c r="H359" s="2">
        <v>2450</v>
      </c>
      <c r="I359" s="9" t="inlineStr">
        <is>
          <t xml:space="preserve">+</t>
        </is>
      </c>
      <c r="J359" s="4">
        <v>1.105</v>
      </c>
    </row>
    <row r="360">
      <c r="A360" s="6" t="inlineStr">
        <is>
          <t xml:space="preserve">HRD-177-26S052587</t>
        </is>
      </c>
      <c r="B360" s="7" t="inlineStr">
        <is>
          <t xml:space="preserve">HRD-177-26S052587</t>
        </is>
      </c>
      <c r="C360" s="7" t="inlineStr">
        <is>
          <t xml:space="preserve">AHL3NVDRX7_1</t>
        </is>
      </c>
      <c r="D360" s="19" t="inlineStr">
        <is>
          <t xml:space="preserve">W0360_BRCA2_E19</t>
        </is>
      </c>
      <c r="E360" s="2">
        <v>2882</v>
      </c>
      <c r="F360" s="20" t="inlineStr">
        <is>
          <t xml:space="preserve">+</t>
        </is>
      </c>
      <c r="G360" s="4">
        <v>0.947</v>
      </c>
      <c r="H360" s="2">
        <v>2100</v>
      </c>
      <c r="I360" s="9" t="inlineStr">
        <is>
          <t xml:space="preserve">+</t>
        </is>
      </c>
      <c r="J360" s="4">
        <v>0.947</v>
      </c>
    </row>
    <row r="361">
      <c r="A361" s="6" t="inlineStr">
        <is>
          <t xml:space="preserve">HRD-177-26S052587</t>
        </is>
      </c>
      <c r="B361" s="7" t="inlineStr">
        <is>
          <t xml:space="preserve">HRD-177-26S052587</t>
        </is>
      </c>
      <c r="C361" s="7" t="inlineStr">
        <is>
          <t xml:space="preserve">AHL3NVDRX7_1</t>
        </is>
      </c>
      <c r="D361" s="19" t="inlineStr">
        <is>
          <t xml:space="preserve">W0361_BRCA2_E20</t>
        </is>
      </c>
      <c r="E361" s="2">
        <v>3021</v>
      </c>
      <c r="F361" s="20" t="inlineStr">
        <is>
          <t xml:space="preserve">+</t>
        </is>
      </c>
      <c r="G361" s="4">
        <v>0.993</v>
      </c>
      <c r="H361" s="2">
        <v>2131</v>
      </c>
      <c r="I361" s="9" t="inlineStr">
        <is>
          <t xml:space="preserve">+</t>
        </is>
      </c>
      <c r="J361" s="4">
        <v>0.961</v>
      </c>
    </row>
    <row r="362">
      <c r="A362" s="6" t="inlineStr">
        <is>
          <t xml:space="preserve">HRD-177-26S052587</t>
        </is>
      </c>
      <c r="B362" s="7" t="inlineStr">
        <is>
          <t xml:space="preserve">HRD-177-26S052587</t>
        </is>
      </c>
      <c r="C362" s="7" t="inlineStr">
        <is>
          <t xml:space="preserve">AHL3NVDRX7_1</t>
        </is>
      </c>
      <c r="D362" s="19" t="inlineStr">
        <is>
          <t xml:space="preserve">W0362_BRCA2_E20</t>
        </is>
      </c>
      <c r="E362" s="2">
        <v>4544</v>
      </c>
      <c r="F362" s="20" t="inlineStr">
        <is>
          <t xml:space="preserve">+</t>
        </is>
      </c>
      <c r="G362" s="4">
        <v>1.493</v>
      </c>
      <c r="H362" s="2">
        <v>3265</v>
      </c>
      <c r="I362" s="9" t="inlineStr">
        <is>
          <t xml:space="preserve">+</t>
        </is>
      </c>
      <c r="J362" s="4">
        <v>1.473</v>
      </c>
    </row>
    <row r="363">
      <c r="A363" s="6" t="inlineStr">
        <is>
          <t xml:space="preserve">HRD-177-26S052587</t>
        </is>
      </c>
      <c r="B363" s="7" t="inlineStr">
        <is>
          <t xml:space="preserve">HRD-177-26S052587</t>
        </is>
      </c>
      <c r="C363" s="7" t="inlineStr">
        <is>
          <t xml:space="preserve">AHL3NVDRX7_1</t>
        </is>
      </c>
      <c r="D363" s="19" t="inlineStr">
        <is>
          <t xml:space="preserve">W0363_BRCA2_E20</t>
        </is>
      </c>
      <c r="E363" s="2">
        <v>2473</v>
      </c>
      <c r="F363" s="20" t="inlineStr">
        <is>
          <t xml:space="preserve">+</t>
        </is>
      </c>
      <c r="G363" s="4">
        <v>0.813</v>
      </c>
      <c r="H363" s="2">
        <v>1846</v>
      </c>
      <c r="I363" s="9" t="inlineStr">
        <is>
          <t xml:space="preserve">+</t>
        </is>
      </c>
      <c r="J363" s="4">
        <v>0.833</v>
      </c>
    </row>
    <row r="364">
      <c r="A364" s="6" t="inlineStr">
        <is>
          <t xml:space="preserve">HRD-177-26S052587</t>
        </is>
      </c>
      <c r="B364" s="7" t="inlineStr">
        <is>
          <t xml:space="preserve">HRD-177-26S052587</t>
        </is>
      </c>
      <c r="C364" s="7" t="inlineStr">
        <is>
          <t xml:space="preserve">AHL3NVDRX7_1</t>
        </is>
      </c>
      <c r="D364" s="19" t="inlineStr">
        <is>
          <t xml:space="preserve">W0364_BRCA2_E21</t>
        </is>
      </c>
      <c r="E364" s="2">
        <v>2452</v>
      </c>
      <c r="F364" s="20" t="inlineStr">
        <is>
          <t xml:space="preserve">+</t>
        </is>
      </c>
      <c r="G364" s="4">
        <v>0.806</v>
      </c>
      <c r="H364" s="2">
        <v>1828</v>
      </c>
      <c r="I364" s="9" t="inlineStr">
        <is>
          <t xml:space="preserve">+</t>
        </is>
      </c>
      <c r="J364" s="4">
        <v>0.825</v>
      </c>
    </row>
    <row r="365">
      <c r="A365" s="6" t="inlineStr">
        <is>
          <t xml:space="preserve">HRD-177-26S052587</t>
        </is>
      </c>
      <c r="B365" s="7" t="inlineStr">
        <is>
          <t xml:space="preserve">HRD-177-26S052587</t>
        </is>
      </c>
      <c r="C365" s="7" t="inlineStr">
        <is>
          <t xml:space="preserve">AHL3NVDRX7_1</t>
        </is>
      </c>
      <c r="D365" s="19" t="inlineStr">
        <is>
          <t xml:space="preserve">W0365_BRCA2_E21</t>
        </is>
      </c>
      <c r="E365" s="2">
        <v>4347</v>
      </c>
      <c r="F365" s="20" t="inlineStr">
        <is>
          <t xml:space="preserve">+</t>
        </is>
      </c>
      <c r="G365" s="4">
        <v>1.429</v>
      </c>
      <c r="H365" s="2">
        <v>2931</v>
      </c>
      <c r="I365" s="9" t="inlineStr">
        <is>
          <t xml:space="preserve">+</t>
        </is>
      </c>
      <c r="J365" s="4">
        <v>1.322</v>
      </c>
    </row>
    <row r="366">
      <c r="A366" s="6" t="inlineStr">
        <is>
          <t xml:space="preserve">HRD-177-26S052587</t>
        </is>
      </c>
      <c r="B366" s="7" t="inlineStr">
        <is>
          <t xml:space="preserve">HRD-177-26S052587</t>
        </is>
      </c>
      <c r="C366" s="7" t="inlineStr">
        <is>
          <t xml:space="preserve">AHL3NVDRX7_1</t>
        </is>
      </c>
      <c r="D366" s="19" t="inlineStr">
        <is>
          <t xml:space="preserve">W0366_BRCA2_E22</t>
        </is>
      </c>
      <c r="E366" s="2">
        <v>3862</v>
      </c>
      <c r="F366" s="20" t="inlineStr">
        <is>
          <t xml:space="preserve">+</t>
        </is>
      </c>
      <c r="G366" s="4">
        <v>1.269</v>
      </c>
      <c r="H366" s="2">
        <v>2878</v>
      </c>
      <c r="I366" s="9" t="inlineStr">
        <is>
          <t xml:space="preserve">+</t>
        </is>
      </c>
      <c r="J366" s="4">
        <v>1.298</v>
      </c>
    </row>
    <row r="367">
      <c r="A367" s="6" t="inlineStr">
        <is>
          <t xml:space="preserve">HRD-177-26S052587</t>
        </is>
      </c>
      <c r="B367" s="7" t="inlineStr">
        <is>
          <t xml:space="preserve">HRD-177-26S052587</t>
        </is>
      </c>
      <c r="C367" s="7" t="inlineStr">
        <is>
          <t xml:space="preserve">AHL3NVDRX7_1</t>
        </is>
      </c>
      <c r="D367" s="19" t="inlineStr">
        <is>
          <t xml:space="preserve">W0367_BRCA2_E22</t>
        </is>
      </c>
      <c r="E367" s="2">
        <v>5563</v>
      </c>
      <c r="F367" s="20" t="inlineStr">
        <is>
          <t xml:space="preserve">+</t>
        </is>
      </c>
      <c r="G367" s="4">
        <v>1.828</v>
      </c>
      <c r="H367" s="2">
        <v>3909</v>
      </c>
      <c r="I367" s="9" t="inlineStr">
        <is>
          <t xml:space="preserve">+</t>
        </is>
      </c>
      <c r="J367" s="4">
        <v>1.763</v>
      </c>
    </row>
    <row r="368">
      <c r="A368" s="6" t="inlineStr">
        <is>
          <t xml:space="preserve">HRD-177-26S052587</t>
        </is>
      </c>
      <c r="B368" s="7" t="inlineStr">
        <is>
          <t xml:space="preserve">HRD-177-26S052587</t>
        </is>
      </c>
      <c r="C368" s="7" t="inlineStr">
        <is>
          <t xml:space="preserve">AHL3NVDRX7_1</t>
        </is>
      </c>
      <c r="D368" s="19" t="inlineStr">
        <is>
          <t xml:space="preserve">W0368_BRCA2_E22</t>
        </is>
      </c>
      <c r="E368" s="2">
        <v>4446</v>
      </c>
      <c r="F368" s="20" t="inlineStr">
        <is>
          <t xml:space="preserve">+</t>
        </is>
      </c>
      <c r="G368" s="4">
        <v>1.461</v>
      </c>
      <c r="H368" s="2">
        <v>3191</v>
      </c>
      <c r="I368" s="9" t="inlineStr">
        <is>
          <t xml:space="preserve">+</t>
        </is>
      </c>
      <c r="J368" s="4">
        <v>1.44</v>
      </c>
    </row>
    <row r="369">
      <c r="A369" s="6" t="inlineStr">
        <is>
          <t xml:space="preserve">HRD-177-26S052587</t>
        </is>
      </c>
      <c r="B369" s="7" t="inlineStr">
        <is>
          <t xml:space="preserve">HRD-177-26S052587</t>
        </is>
      </c>
      <c r="C369" s="7" t="inlineStr">
        <is>
          <t xml:space="preserve">AHL3NVDRX7_1</t>
        </is>
      </c>
      <c r="D369" s="19" t="inlineStr">
        <is>
          <t xml:space="preserve">W0369_BRCA2_E22</t>
        </is>
      </c>
      <c r="E369" s="2">
        <v>2383</v>
      </c>
      <c r="F369" s="20" t="inlineStr">
        <is>
          <t xml:space="preserve">+</t>
        </is>
      </c>
      <c r="G369" s="4">
        <v>0.783</v>
      </c>
      <c r="H369" s="2">
        <v>1803</v>
      </c>
      <c r="I369" s="9" t="inlineStr">
        <is>
          <t xml:space="preserve">+</t>
        </is>
      </c>
      <c r="J369" s="4">
        <v>0.813</v>
      </c>
    </row>
    <row r="370">
      <c r="A370" s="6" t="inlineStr">
        <is>
          <t xml:space="preserve">HRD-177-26S052587</t>
        </is>
      </c>
      <c r="B370" s="7" t="inlineStr">
        <is>
          <t xml:space="preserve">HRD-177-26S052587</t>
        </is>
      </c>
      <c r="C370" s="7" t="inlineStr">
        <is>
          <t xml:space="preserve">AHL3NVDRX7_1</t>
        </is>
      </c>
      <c r="D370" s="19" t="inlineStr">
        <is>
          <t xml:space="preserve">W0370_BRCA2_E23-24</t>
        </is>
      </c>
      <c r="E370" s="2">
        <v>3678</v>
      </c>
      <c r="F370" s="20" t="inlineStr">
        <is>
          <t xml:space="preserve">+</t>
        </is>
      </c>
      <c r="G370" s="4">
        <v>1.209</v>
      </c>
      <c r="H370" s="2">
        <v>2741</v>
      </c>
      <c r="I370" s="9" t="inlineStr">
        <is>
          <t xml:space="preserve">+</t>
        </is>
      </c>
      <c r="J370" s="4">
        <v>1.237</v>
      </c>
    </row>
    <row r="371">
      <c r="A371" s="6" t="inlineStr">
        <is>
          <t xml:space="preserve">HRD-177-26S052587</t>
        </is>
      </c>
      <c r="B371" s="7" t="inlineStr">
        <is>
          <t xml:space="preserve">HRD-177-26S052587</t>
        </is>
      </c>
      <c r="C371" s="7" t="inlineStr">
        <is>
          <t xml:space="preserve">AHL3NVDRX7_1</t>
        </is>
      </c>
      <c r="D371" s="19" t="inlineStr">
        <is>
          <t xml:space="preserve">W0371_BRCA2_E23-24</t>
        </is>
      </c>
      <c r="E371" s="2">
        <v>3739</v>
      </c>
      <c r="F371" s="20" t="inlineStr">
        <is>
          <t xml:space="preserve">+</t>
        </is>
      </c>
      <c r="G371" s="4">
        <v>1.229</v>
      </c>
      <c r="H371" s="2">
        <v>2799</v>
      </c>
      <c r="I371" s="9" t="inlineStr">
        <is>
          <t xml:space="preserve">+</t>
        </is>
      </c>
      <c r="J371" s="4">
        <v>1.263</v>
      </c>
    </row>
    <row r="372">
      <c r="A372" s="6" t="inlineStr">
        <is>
          <t xml:space="preserve">HRD-177-26S052587</t>
        </is>
      </c>
      <c r="B372" s="7" t="inlineStr">
        <is>
          <t xml:space="preserve">HRD-177-26S052587</t>
        </is>
      </c>
      <c r="C372" s="7" t="inlineStr">
        <is>
          <t xml:space="preserve">AHL3NVDRX7_1</t>
        </is>
      </c>
      <c r="D372" s="19" t="inlineStr">
        <is>
          <t xml:space="preserve">W0372_BRCA2_E23-24</t>
        </is>
      </c>
      <c r="E372" s="2">
        <v>3471</v>
      </c>
      <c r="F372" s="20" t="inlineStr">
        <is>
          <t xml:space="preserve">+</t>
        </is>
      </c>
      <c r="G372" s="4">
        <v>1.141</v>
      </c>
      <c r="H372" s="2">
        <v>2552</v>
      </c>
      <c r="I372" s="9" t="inlineStr">
        <is>
          <t xml:space="preserve">+</t>
        </is>
      </c>
      <c r="J372" s="4">
        <v>1.151</v>
      </c>
    </row>
    <row r="373">
      <c r="A373" s="6" t="inlineStr">
        <is>
          <t xml:space="preserve">HRD-177-26S052587</t>
        </is>
      </c>
      <c r="B373" s="7" t="inlineStr">
        <is>
          <t xml:space="preserve">HRD-177-26S052587</t>
        </is>
      </c>
      <c r="C373" s="7" t="inlineStr">
        <is>
          <t xml:space="preserve">AHL3NVDRX7_1</t>
        </is>
      </c>
      <c r="D373" s="19" t="inlineStr">
        <is>
          <t xml:space="preserve">W0373_BRCA2_E23-24</t>
        </is>
      </c>
      <c r="E373" s="2">
        <v>2731</v>
      </c>
      <c r="F373" s="20" t="inlineStr">
        <is>
          <t xml:space="preserve">+</t>
        </is>
      </c>
      <c r="G373" s="4">
        <v>0.898</v>
      </c>
      <c r="H373" s="2">
        <v>2130</v>
      </c>
      <c r="I373" s="9" t="inlineStr">
        <is>
          <t xml:space="preserve">+</t>
        </is>
      </c>
      <c r="J373" s="4">
        <v>0.961</v>
      </c>
    </row>
    <row r="374">
      <c r="A374" s="6" t="inlineStr">
        <is>
          <t xml:space="preserve">HRD-177-26S052587</t>
        </is>
      </c>
      <c r="B374" s="7" t="inlineStr">
        <is>
          <t xml:space="preserve">HRD-177-26S052587</t>
        </is>
      </c>
      <c r="C374" s="7" t="inlineStr">
        <is>
          <t xml:space="preserve">AHL3NVDRX7_1</t>
        </is>
      </c>
      <c r="D374" s="19" t="inlineStr">
        <is>
          <t xml:space="preserve">W0374_BRCA2_E23-24</t>
        </is>
      </c>
      <c r="E374" s="2">
        <v>2691</v>
      </c>
      <c r="F374" s="20" t="inlineStr">
        <is>
          <t xml:space="preserve">+</t>
        </is>
      </c>
      <c r="G374" s="4">
        <v>0.884</v>
      </c>
      <c r="H374" s="2">
        <v>2023</v>
      </c>
      <c r="I374" s="9" t="inlineStr">
        <is>
          <t xml:space="preserve">+</t>
        </is>
      </c>
      <c r="J374" s="4">
        <v>0.913</v>
      </c>
    </row>
    <row r="375">
      <c r="A375" s="6" t="inlineStr">
        <is>
          <t xml:space="preserve">HRD-177-26S052587</t>
        </is>
      </c>
      <c r="B375" s="7" t="inlineStr">
        <is>
          <t xml:space="preserve">HRD-177-26S052587</t>
        </is>
      </c>
      <c r="C375" s="7" t="inlineStr">
        <is>
          <t xml:space="preserve">AHL3NVDRX7_1</t>
        </is>
      </c>
      <c r="D375" s="19" t="inlineStr">
        <is>
          <t xml:space="preserve">W0375_BRCA2_E25</t>
        </is>
      </c>
      <c r="E375" s="2">
        <v>2603</v>
      </c>
      <c r="F375" s="20" t="inlineStr">
        <is>
          <t xml:space="preserve">+</t>
        </is>
      </c>
      <c r="G375" s="4">
        <v>0.855</v>
      </c>
      <c r="H375" s="2">
        <v>1921</v>
      </c>
      <c r="I375" s="9" t="inlineStr">
        <is>
          <t xml:space="preserve">+</t>
        </is>
      </c>
      <c r="J375" s="4">
        <v>0.867</v>
      </c>
    </row>
    <row r="376">
      <c r="A376" s="6" t="inlineStr">
        <is>
          <t xml:space="preserve">HRD-177-26S052587</t>
        </is>
      </c>
      <c r="B376" s="7" t="inlineStr">
        <is>
          <t xml:space="preserve">HRD-177-26S052587</t>
        </is>
      </c>
      <c r="C376" s="7" t="inlineStr">
        <is>
          <t xml:space="preserve">AHL3NVDRX7_1</t>
        </is>
      </c>
      <c r="D376" s="19" t="inlineStr">
        <is>
          <t xml:space="preserve">W0376_BRCA2_E25</t>
        </is>
      </c>
      <c r="E376" s="2">
        <v>2426</v>
      </c>
      <c r="F376" s="20" t="inlineStr">
        <is>
          <t xml:space="preserve">+</t>
        </is>
      </c>
      <c r="G376" s="4">
        <v>0.797</v>
      </c>
      <c r="H376" s="2">
        <v>1829</v>
      </c>
      <c r="I376" s="9" t="inlineStr">
        <is>
          <t xml:space="preserve">+</t>
        </is>
      </c>
      <c r="J376" s="4">
        <v>0.825</v>
      </c>
    </row>
    <row r="377">
      <c r="A377" s="6" t="inlineStr">
        <is>
          <t xml:space="preserve">HRD-177-26S052587</t>
        </is>
      </c>
      <c r="B377" s="7" t="inlineStr">
        <is>
          <t xml:space="preserve">HRD-177-26S052587</t>
        </is>
      </c>
      <c r="C377" s="7" t="inlineStr">
        <is>
          <t xml:space="preserve">AHL3NVDRX7_1</t>
        </is>
      </c>
      <c r="D377" s="19" t="inlineStr">
        <is>
          <t xml:space="preserve">W0377_BRCA2_E25</t>
        </is>
      </c>
      <c r="E377" s="2">
        <v>2419</v>
      </c>
      <c r="F377" s="20" t="inlineStr">
        <is>
          <t xml:space="preserve">+</t>
        </is>
      </c>
      <c r="G377" s="4">
        <v>0.795</v>
      </c>
      <c r="H377" s="2">
        <v>1865</v>
      </c>
      <c r="I377" s="9" t="inlineStr">
        <is>
          <t xml:space="preserve">+</t>
        </is>
      </c>
      <c r="J377" s="4">
        <v>0.841</v>
      </c>
    </row>
    <row r="378">
      <c r="A378" s="6" t="inlineStr">
        <is>
          <t xml:space="preserve">HRD-177-26S052587</t>
        </is>
      </c>
      <c r="B378" s="7" t="inlineStr">
        <is>
          <t xml:space="preserve">HRD-177-26S052587</t>
        </is>
      </c>
      <c r="C378" s="7" t="inlineStr">
        <is>
          <t xml:space="preserve">AHL3NVDRX7_1</t>
        </is>
      </c>
      <c r="D378" s="19" t="inlineStr">
        <is>
          <t xml:space="preserve">W0378_BRCA2_E26</t>
        </is>
      </c>
      <c r="E378" s="2">
        <v>2042</v>
      </c>
      <c r="F378" s="20" t="inlineStr">
        <is>
          <t xml:space="preserve">+</t>
        </is>
      </c>
      <c r="G378" s="4">
        <v>0.671</v>
      </c>
      <c r="H378" s="2">
        <v>1523</v>
      </c>
      <c r="I378" s="9" t="inlineStr">
        <is>
          <t xml:space="preserve">+</t>
        </is>
      </c>
      <c r="J378" s="4">
        <v>0.687</v>
      </c>
    </row>
    <row r="379">
      <c r="A379" s="6" t="inlineStr">
        <is>
          <t xml:space="preserve">HRD-177-26S052587</t>
        </is>
      </c>
      <c r="B379" s="7" t="inlineStr">
        <is>
          <t xml:space="preserve">HRD-177-26S052587</t>
        </is>
      </c>
      <c r="C379" s="7" t="inlineStr">
        <is>
          <t xml:space="preserve">AHL3NVDRX7_1</t>
        </is>
      </c>
      <c r="D379" s="19" t="inlineStr">
        <is>
          <t xml:space="preserve">W0379_BRCA2_E26</t>
        </is>
      </c>
      <c r="E379" s="2">
        <v>4142</v>
      </c>
      <c r="F379" s="20" t="inlineStr">
        <is>
          <t xml:space="preserve">+</t>
        </is>
      </c>
      <c r="G379" s="4">
        <v>1.361</v>
      </c>
      <c r="H379" s="2">
        <v>3048</v>
      </c>
      <c r="I379" s="9" t="inlineStr">
        <is>
          <t xml:space="preserve">+</t>
        </is>
      </c>
      <c r="J379" s="4">
        <v>1.375</v>
      </c>
    </row>
    <row r="380">
      <c r="A380" s="6" t="inlineStr">
        <is>
          <t xml:space="preserve">HRD-177-26S052587</t>
        </is>
      </c>
      <c r="B380" s="7" t="inlineStr">
        <is>
          <t xml:space="preserve">HRD-177-26S052587</t>
        </is>
      </c>
      <c r="C380" s="7" t="inlineStr">
        <is>
          <t xml:space="preserve">AHL3NVDRX7_1</t>
        </is>
      </c>
      <c r="D380" s="19" t="inlineStr">
        <is>
          <t xml:space="preserve">W0380_BRCA2_E26</t>
        </is>
      </c>
      <c r="E380" s="2">
        <v>3772</v>
      </c>
      <c r="F380" s="20" t="inlineStr">
        <is>
          <t xml:space="preserve">+</t>
        </is>
      </c>
      <c r="G380" s="4">
        <v>1.24</v>
      </c>
      <c r="H380" s="2">
        <v>2785</v>
      </c>
      <c r="I380" s="9" t="inlineStr">
        <is>
          <t xml:space="preserve">+</t>
        </is>
      </c>
      <c r="J380" s="4">
        <v>1.256</v>
      </c>
    </row>
    <row r="381">
      <c r="A381" s="6" t="inlineStr">
        <is>
          <t xml:space="preserve">HRD-177-26S052587</t>
        </is>
      </c>
      <c r="B381" s="7" t="inlineStr">
        <is>
          <t xml:space="preserve">HRD-177-26S052587</t>
        </is>
      </c>
      <c r="C381" s="7" t="inlineStr">
        <is>
          <t xml:space="preserve">AHL3NVDRX7_1</t>
        </is>
      </c>
      <c r="D381" s="19" t="inlineStr">
        <is>
          <t xml:space="preserve">W0381_BRCA2_E27</t>
        </is>
      </c>
      <c r="E381" s="2">
        <v>2947</v>
      </c>
      <c r="F381" s="20" t="inlineStr">
        <is>
          <t xml:space="preserve">+</t>
        </is>
      </c>
      <c r="G381" s="4">
        <v>0.969</v>
      </c>
      <c r="H381" s="2">
        <v>2197</v>
      </c>
      <c r="I381" s="9" t="inlineStr">
        <is>
          <t xml:space="preserve">+</t>
        </is>
      </c>
      <c r="J381" s="4">
        <v>0.991</v>
      </c>
    </row>
    <row r="382">
      <c r="A382" s="6" t="inlineStr">
        <is>
          <t xml:space="preserve">HRD-177-26S052587</t>
        </is>
      </c>
      <c r="B382" s="7" t="inlineStr">
        <is>
          <t xml:space="preserve">HRD-177-26S052587</t>
        </is>
      </c>
      <c r="C382" s="7" t="inlineStr">
        <is>
          <t xml:space="preserve">AHL3NVDRX7_1</t>
        </is>
      </c>
      <c r="D382" s="19" t="inlineStr">
        <is>
          <t xml:space="preserve">W0382_BRCA2_E27</t>
        </is>
      </c>
      <c r="E382" s="2">
        <v>3424</v>
      </c>
      <c r="F382" s="20" t="inlineStr">
        <is>
          <t xml:space="preserve">+</t>
        </is>
      </c>
      <c r="G382" s="4">
        <v>1.125</v>
      </c>
      <c r="H382" s="2">
        <v>2585</v>
      </c>
      <c r="I382" s="9" t="inlineStr">
        <is>
          <t xml:space="preserve">+</t>
        </is>
      </c>
      <c r="J382" s="4">
        <v>1.166</v>
      </c>
    </row>
    <row r="383">
      <c r="A383" s="6" t="inlineStr">
        <is>
          <t xml:space="preserve">HRD-177-26S052587</t>
        </is>
      </c>
      <c r="B383" s="7" t="inlineStr">
        <is>
          <t xml:space="preserve">HRD-177-26S052587</t>
        </is>
      </c>
      <c r="C383" s="7" t="inlineStr">
        <is>
          <t xml:space="preserve">AHL3NVDRX7_1</t>
        </is>
      </c>
      <c r="D383" s="19" t="inlineStr">
        <is>
          <t xml:space="preserve">W0383_BRCA2_E27</t>
        </is>
      </c>
      <c r="E383" s="2">
        <v>3037</v>
      </c>
      <c r="F383" s="20" t="inlineStr">
        <is>
          <t xml:space="preserve">+</t>
        </is>
      </c>
      <c r="G383" s="4">
        <v>0.998</v>
      </c>
      <c r="H383" s="2">
        <v>2247</v>
      </c>
      <c r="I383" s="9" t="inlineStr">
        <is>
          <t xml:space="preserve">+</t>
        </is>
      </c>
      <c r="J383" s="4">
        <v>1.014</v>
      </c>
    </row>
    <row r="384">
      <c r="A384" s="6" t="inlineStr">
        <is>
          <t xml:space="preserve">HRD-177-26S052587</t>
        </is>
      </c>
      <c r="B384" s="7" t="inlineStr">
        <is>
          <t xml:space="preserve">HRD-177-26S052587</t>
        </is>
      </c>
      <c r="C384" s="7" t="inlineStr">
        <is>
          <t xml:space="preserve">AHL3NVDRX7_1</t>
        </is>
      </c>
      <c r="D384" s="19" t="inlineStr">
        <is>
          <t xml:space="preserve">W0384_BRCA2_E27</t>
        </is>
      </c>
      <c r="E384" s="2">
        <v>1914</v>
      </c>
      <c r="F384" s="20" t="inlineStr">
        <is>
          <t xml:space="preserve">+</t>
        </is>
      </c>
      <c r="G384" s="4">
        <v>0.629</v>
      </c>
      <c r="H384" s="2">
        <v>1483</v>
      </c>
      <c r="I384" s="9" t="inlineStr">
        <is>
          <t xml:space="preserve">+</t>
        </is>
      </c>
      <c r="J384" s="4">
        <v>0.669</v>
      </c>
    </row>
    <row r="385">
      <c r="A385" s="6" t="inlineStr">
        <is>
          <t xml:space="preserve">HRD-177-26S052587</t>
        </is>
      </c>
      <c r="B385" s="7" t="inlineStr">
        <is>
          <t xml:space="preserve">HRD-177-26S052587</t>
        </is>
      </c>
      <c r="C385" s="7" t="inlineStr">
        <is>
          <t xml:space="preserve">AHL3NVDRX7_1</t>
        </is>
      </c>
      <c r="D385" s="19" t="inlineStr">
        <is>
          <t xml:space="preserve">W0385_BRCA2_E27</t>
        </is>
      </c>
      <c r="E385" s="2">
        <v>2244</v>
      </c>
      <c r="F385" s="20" t="inlineStr">
        <is>
          <t xml:space="preserve">+</t>
        </is>
      </c>
      <c r="G385" s="4">
        <v>0.737</v>
      </c>
      <c r="H385" s="2">
        <v>1727</v>
      </c>
      <c r="I385" s="9" t="inlineStr">
        <is>
          <t xml:space="preserve">+</t>
        </is>
      </c>
      <c r="J385" s="4">
        <v>0.779</v>
      </c>
    </row>
    <row r="386">
      <c r="A386" s="6" t="inlineStr">
        <is>
          <t xml:space="preserve">HRD-177-26S052587</t>
        </is>
      </c>
      <c r="B386" s="7" t="inlineStr">
        <is>
          <t xml:space="preserve">HRD-177-26S052587</t>
        </is>
      </c>
      <c r="C386" s="7" t="inlineStr">
        <is>
          <t xml:space="preserve">AHL3NVDRX7_1</t>
        </is>
      </c>
      <c r="D386" s="19" t="inlineStr">
        <is>
          <t xml:space="preserve">W0386_BRCA2_E27</t>
        </is>
      </c>
      <c r="E386" s="2">
        <v>4461</v>
      </c>
      <c r="F386" s="20" t="inlineStr">
        <is>
          <t xml:space="preserve">+</t>
        </is>
      </c>
      <c r="G386" s="4">
        <v>1.466</v>
      </c>
      <c r="H386" s="2">
        <v>3247</v>
      </c>
      <c r="I386" s="9" t="inlineStr">
        <is>
          <t xml:space="preserve">+</t>
        </is>
      </c>
      <c r="J386" s="4">
        <v>1.465</v>
      </c>
    </row>
    <row r="387">
      <c r="A387" s="6" t="inlineStr">
        <is>
          <t xml:space="preserve">HRD-177-26S052587</t>
        </is>
      </c>
      <c r="B387" s="7" t="inlineStr">
        <is>
          <t xml:space="preserve">HRD-177-26S052587</t>
        </is>
      </c>
      <c r="C387" s="7" t="inlineStr">
        <is>
          <t xml:space="preserve">AHL3NVDRX7_1</t>
        </is>
      </c>
      <c r="D387" s="19" t="inlineStr">
        <is>
          <t xml:space="preserve">W0387_BRCA2_E27</t>
        </is>
      </c>
      <c r="E387" s="2">
        <v>3598</v>
      </c>
      <c r="F387" s="20" t="inlineStr">
        <is>
          <t xml:space="preserve">+</t>
        </is>
      </c>
      <c r="G387" s="4">
        <v>1.182</v>
      </c>
      <c r="H387" s="2">
        <v>2697</v>
      </c>
      <c r="I387" s="9" t="inlineStr">
        <is>
          <t xml:space="preserve">+</t>
        </is>
      </c>
      <c r="J387" s="4">
        <v>1.217</v>
      </c>
    </row>
    <row r="388">
      <c r="A388" s="6" t="inlineStr">
        <is>
          <t xml:space="preserve">HRD-177-26S052587</t>
        </is>
      </c>
      <c r="B388" s="7" t="inlineStr">
        <is>
          <t xml:space="preserve">HRD-177-26S052587</t>
        </is>
      </c>
      <c r="C388" s="7" t="inlineStr">
        <is>
          <t xml:space="preserve">AHL3NVDRX7_1</t>
        </is>
      </c>
      <c r="D388" s="19" t="inlineStr">
        <is>
          <t xml:space="preserve">W0388_BRIP1_E20</t>
        </is>
      </c>
      <c r="E388" s="2">
        <v>2117</v>
      </c>
      <c r="F388" s="20" t="inlineStr">
        <is>
          <t xml:space="preserve">+</t>
        </is>
      </c>
      <c r="G388" s="4">
        <v>0.696</v>
      </c>
      <c r="H388" s="2">
        <v>1632</v>
      </c>
      <c r="I388" s="9" t="inlineStr">
        <is>
          <t xml:space="preserve">+</t>
        </is>
      </c>
      <c r="J388" s="4">
        <v>0.736</v>
      </c>
    </row>
    <row r="389">
      <c r="A389" s="6" t="inlineStr">
        <is>
          <t xml:space="preserve">HRD-177-26S052587</t>
        </is>
      </c>
      <c r="B389" s="7" t="inlineStr">
        <is>
          <t xml:space="preserve">HRD-177-26S052587</t>
        </is>
      </c>
      <c r="C389" s="7" t="inlineStr">
        <is>
          <t xml:space="preserve">AHL3NVDRX7_1</t>
        </is>
      </c>
      <c r="D389" s="19" t="inlineStr">
        <is>
          <t xml:space="preserve">W0389_BRIP1_E20</t>
        </is>
      </c>
      <c r="E389" s="2">
        <v>1451</v>
      </c>
      <c r="F389" s="20" t="inlineStr">
        <is>
          <t xml:space="preserve">+</t>
        </is>
      </c>
      <c r="G389" s="4">
        <v>0.477</v>
      </c>
      <c r="H389" s="2">
        <v>1133</v>
      </c>
      <c r="I389" s="9" t="inlineStr">
        <is>
          <t xml:space="preserve">+</t>
        </is>
      </c>
      <c r="J389" s="4">
        <v>0.511</v>
      </c>
    </row>
    <row r="390">
      <c r="A390" s="6" t="inlineStr">
        <is>
          <t xml:space="preserve">HRD-177-26S052587</t>
        </is>
      </c>
      <c r="B390" s="7" t="inlineStr">
        <is>
          <t xml:space="preserve">HRD-177-26S052587</t>
        </is>
      </c>
      <c r="C390" s="7" t="inlineStr">
        <is>
          <t xml:space="preserve">AHL3NVDRX7_1</t>
        </is>
      </c>
      <c r="D390" s="19" t="inlineStr">
        <is>
          <t xml:space="preserve">W0390_BRIP1_E20</t>
        </is>
      </c>
      <c r="E390" s="2">
        <v>1598</v>
      </c>
      <c r="F390" s="20" t="inlineStr">
        <is>
          <t xml:space="preserve">+</t>
        </is>
      </c>
      <c r="G390" s="4">
        <v>0.525</v>
      </c>
      <c r="H390" s="2">
        <v>1251</v>
      </c>
      <c r="I390" s="9" t="inlineStr">
        <is>
          <t xml:space="preserve">+</t>
        </is>
      </c>
      <c r="J390" s="4">
        <v>0.564</v>
      </c>
    </row>
    <row r="391">
      <c r="A391" s="6" t="inlineStr">
        <is>
          <t xml:space="preserve">HRD-177-26S052587</t>
        </is>
      </c>
      <c r="B391" s="7" t="inlineStr">
        <is>
          <t xml:space="preserve">HRD-177-26S052587</t>
        </is>
      </c>
      <c r="C391" s="7" t="inlineStr">
        <is>
          <t xml:space="preserve">AHL3NVDRX7_1</t>
        </is>
      </c>
      <c r="D391" s="19" t="inlineStr">
        <is>
          <t xml:space="preserve">W0391_BRIP1_E20</t>
        </is>
      </c>
      <c r="E391" s="2">
        <v>1584</v>
      </c>
      <c r="F391" s="20" t="inlineStr">
        <is>
          <t xml:space="preserve">+</t>
        </is>
      </c>
      <c r="G391" s="4">
        <v>0.521</v>
      </c>
      <c r="H391" s="2">
        <v>1230</v>
      </c>
      <c r="I391" s="9" t="inlineStr">
        <is>
          <t xml:space="preserve">+</t>
        </is>
      </c>
      <c r="J391" s="4">
        <v>0.555</v>
      </c>
    </row>
    <row r="392">
      <c r="A392" s="6" t="inlineStr">
        <is>
          <t xml:space="preserve">HRD-177-26S052587</t>
        </is>
      </c>
      <c r="B392" s="7" t="inlineStr">
        <is>
          <t xml:space="preserve">HRD-177-26S052587</t>
        </is>
      </c>
      <c r="C392" s="7" t="inlineStr">
        <is>
          <t xml:space="preserve">AHL3NVDRX7_1</t>
        </is>
      </c>
      <c r="D392" s="19" t="inlineStr">
        <is>
          <t xml:space="preserve">W0392_BRIP1_E20</t>
        </is>
      </c>
      <c r="E392" s="2">
        <v>1675</v>
      </c>
      <c r="F392" s="20" t="inlineStr">
        <is>
          <t xml:space="preserve">+</t>
        </is>
      </c>
      <c r="G392" s="4">
        <v>0.55</v>
      </c>
      <c r="H392" s="2">
        <v>1305</v>
      </c>
      <c r="I392" s="9" t="inlineStr">
        <is>
          <t xml:space="preserve">+</t>
        </is>
      </c>
      <c r="J392" s="4">
        <v>0.589</v>
      </c>
    </row>
    <row r="393">
      <c r="A393" s="6" t="inlineStr">
        <is>
          <t xml:space="preserve">HRD-177-26S052587</t>
        </is>
      </c>
      <c r="B393" s="7" t="inlineStr">
        <is>
          <t xml:space="preserve">HRD-177-26S052587</t>
        </is>
      </c>
      <c r="C393" s="7" t="inlineStr">
        <is>
          <t xml:space="preserve">AHL3NVDRX7_1</t>
        </is>
      </c>
      <c r="D393" s="19" t="inlineStr">
        <is>
          <t xml:space="preserve">W0393_BRIP1_E20</t>
        </is>
      </c>
      <c r="E393" s="2">
        <v>2312</v>
      </c>
      <c r="F393" s="20" t="inlineStr">
        <is>
          <t xml:space="preserve">+</t>
        </is>
      </c>
      <c r="G393" s="4">
        <v>0.76</v>
      </c>
      <c r="H393" s="2">
        <v>1712</v>
      </c>
      <c r="I393" s="9" t="inlineStr">
        <is>
          <t xml:space="preserve">+</t>
        </is>
      </c>
      <c r="J393" s="4">
        <v>0.772</v>
      </c>
    </row>
    <row r="394">
      <c r="A394" s="6" t="inlineStr">
        <is>
          <t xml:space="preserve">HRD-177-26S052587</t>
        </is>
      </c>
      <c r="B394" s="7" t="inlineStr">
        <is>
          <t xml:space="preserve">HRD-177-26S052587</t>
        </is>
      </c>
      <c r="C394" s="7" t="inlineStr">
        <is>
          <t xml:space="preserve">AHL3NVDRX7_1</t>
        </is>
      </c>
      <c r="D394" s="19" t="inlineStr">
        <is>
          <t xml:space="preserve">W0394_BRIP1_E20</t>
        </is>
      </c>
      <c r="E394" s="2">
        <v>2476</v>
      </c>
      <c r="F394" s="20" t="inlineStr">
        <is>
          <t xml:space="preserve">+</t>
        </is>
      </c>
      <c r="G394" s="4">
        <v>0.814</v>
      </c>
      <c r="H394" s="2">
        <v>1890</v>
      </c>
      <c r="I394" s="9" t="inlineStr">
        <is>
          <t xml:space="preserve">+</t>
        </is>
      </c>
      <c r="J394" s="4">
        <v>0.853</v>
      </c>
    </row>
    <row r="395">
      <c r="A395" s="6" t="inlineStr">
        <is>
          <t xml:space="preserve">HRD-177-26S052587</t>
        </is>
      </c>
      <c r="B395" s="7" t="inlineStr">
        <is>
          <t xml:space="preserve">HRD-177-26S052587</t>
        </is>
      </c>
      <c r="C395" s="7" t="inlineStr">
        <is>
          <t xml:space="preserve">AHL3NVDRX7_1</t>
        </is>
      </c>
      <c r="D395" s="19" t="inlineStr">
        <is>
          <t xml:space="preserve">W0395_BRIP1_E19</t>
        </is>
      </c>
      <c r="E395" s="2">
        <v>2393</v>
      </c>
      <c r="F395" s="20" t="inlineStr">
        <is>
          <t xml:space="preserve">+</t>
        </is>
      </c>
      <c r="G395" s="4">
        <v>0.786</v>
      </c>
      <c r="H395" s="2">
        <v>1768</v>
      </c>
      <c r="I395" s="9" t="inlineStr">
        <is>
          <t xml:space="preserve">+</t>
        </is>
      </c>
      <c r="J395" s="4">
        <v>0.798</v>
      </c>
    </row>
    <row r="396">
      <c r="A396" s="6" t="inlineStr">
        <is>
          <t xml:space="preserve">HRD-177-26S052587</t>
        </is>
      </c>
      <c r="B396" s="7" t="inlineStr">
        <is>
          <t xml:space="preserve">HRD-177-26S052587</t>
        </is>
      </c>
      <c r="C396" s="7" t="inlineStr">
        <is>
          <t xml:space="preserve">AHL3NVDRX7_1</t>
        </is>
      </c>
      <c r="D396" s="19" t="inlineStr">
        <is>
          <t xml:space="preserve">W0396_BRIP1_E19</t>
        </is>
      </c>
      <c r="E396" s="2">
        <v>2299</v>
      </c>
      <c r="F396" s="20" t="inlineStr">
        <is>
          <t xml:space="preserve">+</t>
        </is>
      </c>
      <c r="G396" s="4">
        <v>0.756</v>
      </c>
      <c r="H396" s="2">
        <v>1751</v>
      </c>
      <c r="I396" s="9" t="inlineStr">
        <is>
          <t xml:space="preserve">+</t>
        </is>
      </c>
      <c r="J396" s="4">
        <v>0.79</v>
      </c>
    </row>
    <row r="397">
      <c r="A397" s="6" t="inlineStr">
        <is>
          <t xml:space="preserve">HRD-177-26S052587</t>
        </is>
      </c>
      <c r="B397" s="7" t="inlineStr">
        <is>
          <t xml:space="preserve">HRD-177-26S052587</t>
        </is>
      </c>
      <c r="C397" s="7" t="inlineStr">
        <is>
          <t xml:space="preserve">AHL3NVDRX7_1</t>
        </is>
      </c>
      <c r="D397" s="19" t="inlineStr">
        <is>
          <t xml:space="preserve">W0397_BRIP1_E19</t>
        </is>
      </c>
      <c r="E397" s="2">
        <v>2518</v>
      </c>
      <c r="F397" s="20" t="inlineStr">
        <is>
          <t xml:space="preserve">+</t>
        </is>
      </c>
      <c r="G397" s="4">
        <v>0.828</v>
      </c>
      <c r="H397" s="2">
        <v>1885</v>
      </c>
      <c r="I397" s="9" t="inlineStr">
        <is>
          <t xml:space="preserve">+</t>
        </is>
      </c>
      <c r="J397" s="4">
        <v>0.85</v>
      </c>
    </row>
    <row r="398">
      <c r="A398" s="6" t="inlineStr">
        <is>
          <t xml:space="preserve">HRD-177-26S052587</t>
        </is>
      </c>
      <c r="B398" s="7" t="inlineStr">
        <is>
          <t xml:space="preserve">HRD-177-26S052587</t>
        </is>
      </c>
      <c r="C398" s="7" t="inlineStr">
        <is>
          <t xml:space="preserve">AHL3NVDRX7_1</t>
        </is>
      </c>
      <c r="D398" s="19" t="inlineStr">
        <is>
          <t xml:space="preserve">W0398_BRIP1_E19</t>
        </is>
      </c>
      <c r="E398" s="2">
        <v>2873</v>
      </c>
      <c r="F398" s="20" t="inlineStr">
        <is>
          <t xml:space="preserve">+</t>
        </is>
      </c>
      <c r="G398" s="4">
        <v>0.944</v>
      </c>
      <c r="H398" s="2">
        <v>2182</v>
      </c>
      <c r="I398" s="9" t="inlineStr">
        <is>
          <t xml:space="preserve">+</t>
        </is>
      </c>
      <c r="J398" s="4">
        <v>0.984</v>
      </c>
    </row>
    <row r="399">
      <c r="A399" s="6" t="inlineStr">
        <is>
          <t xml:space="preserve">HRD-177-26S052587</t>
        </is>
      </c>
      <c r="B399" s="7" t="inlineStr">
        <is>
          <t xml:space="preserve">HRD-177-26S052587</t>
        </is>
      </c>
      <c r="C399" s="7" t="inlineStr">
        <is>
          <t xml:space="preserve">AHL3NVDRX7_1</t>
        </is>
      </c>
      <c r="D399" s="19" t="inlineStr">
        <is>
          <t xml:space="preserve">W0399_BRIP1_E18</t>
        </is>
      </c>
      <c r="E399" s="2">
        <v>2683</v>
      </c>
      <c r="F399" s="20" t="inlineStr">
        <is>
          <t xml:space="preserve">+</t>
        </is>
      </c>
      <c r="G399" s="4">
        <v>0.882</v>
      </c>
      <c r="H399" s="2">
        <v>2025</v>
      </c>
      <c r="I399" s="9" t="inlineStr">
        <is>
          <t xml:space="preserve">+</t>
        </is>
      </c>
      <c r="J399" s="4">
        <v>0.914</v>
      </c>
    </row>
    <row r="400">
      <c r="A400" s="6" t="inlineStr">
        <is>
          <t xml:space="preserve">HRD-177-26S052587</t>
        </is>
      </c>
      <c r="B400" s="7" t="inlineStr">
        <is>
          <t xml:space="preserve">HRD-177-26S052587</t>
        </is>
      </c>
      <c r="C400" s="7" t="inlineStr">
        <is>
          <t xml:space="preserve">AHL3NVDRX7_1</t>
        </is>
      </c>
      <c r="D400" s="19" t="inlineStr">
        <is>
          <t xml:space="preserve">W0400_BRIP1_E18</t>
        </is>
      </c>
      <c r="E400" s="2">
        <v>3806</v>
      </c>
      <c r="F400" s="20" t="inlineStr">
        <is>
          <t xml:space="preserve">+</t>
        </is>
      </c>
      <c r="G400" s="4">
        <v>1.251</v>
      </c>
      <c r="H400" s="2">
        <v>2813</v>
      </c>
      <c r="I400" s="9" t="inlineStr">
        <is>
          <t xml:space="preserve">+</t>
        </is>
      </c>
      <c r="J400" s="4">
        <v>1.269</v>
      </c>
    </row>
    <row r="401">
      <c r="A401" s="6" t="inlineStr">
        <is>
          <t xml:space="preserve">HRD-177-26S052587</t>
        </is>
      </c>
      <c r="B401" s="7" t="inlineStr">
        <is>
          <t xml:space="preserve">HRD-177-26S052587</t>
        </is>
      </c>
      <c r="C401" s="7" t="inlineStr">
        <is>
          <t xml:space="preserve">AHL3NVDRX7_1</t>
        </is>
      </c>
      <c r="D401" s="19" t="inlineStr">
        <is>
          <t xml:space="preserve">W0401_BRIP1_E17</t>
        </is>
      </c>
      <c r="E401" s="2">
        <v>1124</v>
      </c>
      <c r="F401" s="20" t="inlineStr">
        <is>
          <t xml:space="preserve">+</t>
        </is>
      </c>
      <c r="G401" s="4">
        <v>0.369</v>
      </c>
      <c r="H401" s="2">
        <v>861</v>
      </c>
      <c r="I401" s="9" t="inlineStr">
        <is>
          <t xml:space="preserve">+</t>
        </is>
      </c>
      <c r="J401" s="4">
        <v>0.388</v>
      </c>
    </row>
    <row r="402">
      <c r="A402" s="6" t="inlineStr">
        <is>
          <t xml:space="preserve">HRD-177-26S052587</t>
        </is>
      </c>
      <c r="B402" s="7" t="inlineStr">
        <is>
          <t xml:space="preserve">HRD-177-26S052587</t>
        </is>
      </c>
      <c r="C402" s="7" t="inlineStr">
        <is>
          <t xml:space="preserve">AHL3NVDRX7_1</t>
        </is>
      </c>
      <c r="D402" s="19" t="inlineStr">
        <is>
          <t xml:space="preserve">W0402_BRIP1_E17</t>
        </is>
      </c>
      <c r="E402" s="2">
        <v>4290</v>
      </c>
      <c r="F402" s="20" t="inlineStr">
        <is>
          <t xml:space="preserve">+</t>
        </is>
      </c>
      <c r="G402" s="4">
        <v>1.41</v>
      </c>
      <c r="H402" s="2">
        <v>3050</v>
      </c>
      <c r="I402" s="9" t="inlineStr">
        <is>
          <t xml:space="preserve">+</t>
        </is>
      </c>
      <c r="J402" s="4">
        <v>1.376</v>
      </c>
    </row>
    <row r="403">
      <c r="A403" s="6" t="inlineStr">
        <is>
          <t xml:space="preserve">HRD-177-26S052587</t>
        </is>
      </c>
      <c r="B403" s="7" t="inlineStr">
        <is>
          <t xml:space="preserve">HRD-177-26S052587</t>
        </is>
      </c>
      <c r="C403" s="7" t="inlineStr">
        <is>
          <t xml:space="preserve">AHL3NVDRX7_1</t>
        </is>
      </c>
      <c r="D403" s="19" t="inlineStr">
        <is>
          <t xml:space="preserve">W0403_BRIP1_E17</t>
        </is>
      </c>
      <c r="E403" s="2">
        <v>698</v>
      </c>
      <c r="F403" s="20" t="inlineStr">
        <is>
          <t xml:space="preserve">+</t>
        </is>
      </c>
      <c r="G403" s="4">
        <v>0.229</v>
      </c>
      <c r="H403" s="2">
        <v>559</v>
      </c>
      <c r="I403" s="9" t="inlineStr">
        <is>
          <t xml:space="preserve">+</t>
        </is>
      </c>
      <c r="J403" s="4">
        <v>0.252</v>
      </c>
    </row>
    <row r="404">
      <c r="A404" s="6" t="inlineStr">
        <is>
          <t xml:space="preserve">HRD-177-26S052587</t>
        </is>
      </c>
      <c r="B404" s="7" t="inlineStr">
        <is>
          <t xml:space="preserve">HRD-177-26S052587</t>
        </is>
      </c>
      <c r="C404" s="7" t="inlineStr">
        <is>
          <t xml:space="preserve">AHL3NVDRX7_1</t>
        </is>
      </c>
      <c r="D404" s="19" t="inlineStr">
        <is>
          <t xml:space="preserve">W0404_BRIP1_E16</t>
        </is>
      </c>
      <c r="E404" s="2">
        <v>3343</v>
      </c>
      <c r="F404" s="20" t="inlineStr">
        <is>
          <t xml:space="preserve">+</t>
        </is>
      </c>
      <c r="G404" s="4">
        <v>1.099</v>
      </c>
      <c r="H404" s="2">
        <v>2475</v>
      </c>
      <c r="I404" s="9" t="inlineStr">
        <is>
          <t xml:space="preserve">+</t>
        </is>
      </c>
      <c r="J404" s="4">
        <v>1.117</v>
      </c>
    </row>
    <row r="405">
      <c r="A405" s="6" t="inlineStr">
        <is>
          <t xml:space="preserve">HRD-177-26S052587</t>
        </is>
      </c>
      <c r="B405" s="7" t="inlineStr">
        <is>
          <t xml:space="preserve">HRD-177-26S052587</t>
        </is>
      </c>
      <c r="C405" s="7" t="inlineStr">
        <is>
          <t xml:space="preserve">AHL3NVDRX7_1</t>
        </is>
      </c>
      <c r="D405" s="19" t="inlineStr">
        <is>
          <t xml:space="preserve">W0405_BRIP1_E16</t>
        </is>
      </c>
      <c r="E405" s="2">
        <v>3492</v>
      </c>
      <c r="F405" s="20" t="inlineStr">
        <is>
          <t xml:space="preserve">+</t>
        </is>
      </c>
      <c r="G405" s="4">
        <v>1.148</v>
      </c>
      <c r="H405" s="2">
        <v>2558</v>
      </c>
      <c r="I405" s="9" t="inlineStr">
        <is>
          <t xml:space="preserve">+</t>
        </is>
      </c>
      <c r="J405" s="4">
        <v>1.154</v>
      </c>
    </row>
    <row r="406">
      <c r="A406" s="6" t="inlineStr">
        <is>
          <t xml:space="preserve">HRD-177-26S052587</t>
        </is>
      </c>
      <c r="B406" s="7" t="inlineStr">
        <is>
          <t xml:space="preserve">HRD-177-26S052587</t>
        </is>
      </c>
      <c r="C406" s="7" t="inlineStr">
        <is>
          <t xml:space="preserve">AHL3NVDRX7_1</t>
        </is>
      </c>
      <c r="D406" s="19" t="inlineStr">
        <is>
          <t xml:space="preserve">W0406_BRIP1_E15</t>
        </is>
      </c>
      <c r="E406" s="2">
        <v>795</v>
      </c>
      <c r="F406" s="20" t="inlineStr">
        <is>
          <t xml:space="preserve">+</t>
        </is>
      </c>
      <c r="G406" s="4">
        <v>0.261</v>
      </c>
      <c r="H406" s="2">
        <v>627</v>
      </c>
      <c r="I406" s="9" t="inlineStr">
        <is>
          <t xml:space="preserve">+</t>
        </is>
      </c>
      <c r="J406" s="4">
        <v>0.283</v>
      </c>
    </row>
    <row r="407">
      <c r="A407" s="6" t="inlineStr">
        <is>
          <t xml:space="preserve">HRD-177-26S052587</t>
        </is>
      </c>
      <c r="B407" s="7" t="inlineStr">
        <is>
          <t xml:space="preserve">HRD-177-26S052587</t>
        </is>
      </c>
      <c r="C407" s="7" t="inlineStr">
        <is>
          <t xml:space="preserve">AHL3NVDRX7_1</t>
        </is>
      </c>
      <c r="D407" s="19" t="inlineStr">
        <is>
          <t xml:space="preserve">W0407_BRIP1_E15</t>
        </is>
      </c>
      <c r="E407" s="2">
        <v>1774</v>
      </c>
      <c r="F407" s="20" t="inlineStr">
        <is>
          <t xml:space="preserve">+</t>
        </is>
      </c>
      <c r="G407" s="4">
        <v>0.583</v>
      </c>
      <c r="H407" s="2">
        <v>1393</v>
      </c>
      <c r="I407" s="9" t="inlineStr">
        <is>
          <t xml:space="preserve">+</t>
        </is>
      </c>
      <c r="J407" s="4">
        <v>0.628</v>
      </c>
    </row>
    <row r="408">
      <c r="A408" s="6" t="inlineStr">
        <is>
          <t xml:space="preserve">HRD-177-26S052587</t>
        </is>
      </c>
      <c r="B408" s="7" t="inlineStr">
        <is>
          <t xml:space="preserve">HRD-177-26S052587</t>
        </is>
      </c>
      <c r="C408" s="7" t="inlineStr">
        <is>
          <t xml:space="preserve">AHL3NVDRX7_1</t>
        </is>
      </c>
      <c r="D408" s="19" t="inlineStr">
        <is>
          <t xml:space="preserve">W0408_BRIP1_E14</t>
        </is>
      </c>
      <c r="E408" s="2">
        <v>2093</v>
      </c>
      <c r="F408" s="20" t="inlineStr">
        <is>
          <t xml:space="preserve">+</t>
        </is>
      </c>
      <c r="G408" s="4">
        <v>0.688</v>
      </c>
      <c r="H408" s="2">
        <v>1609</v>
      </c>
      <c r="I408" s="9" t="inlineStr">
        <is>
          <t xml:space="preserve">+</t>
        </is>
      </c>
      <c r="J408" s="4">
        <v>0.726</v>
      </c>
    </row>
    <row r="409">
      <c r="A409" s="6" t="inlineStr">
        <is>
          <t xml:space="preserve">HRD-177-26S052587</t>
        </is>
      </c>
      <c r="B409" s="7" t="inlineStr">
        <is>
          <t xml:space="preserve">HRD-177-26S052587</t>
        </is>
      </c>
      <c r="C409" s="7" t="inlineStr">
        <is>
          <t xml:space="preserve">AHL3NVDRX7_1</t>
        </is>
      </c>
      <c r="D409" s="19" t="inlineStr">
        <is>
          <t xml:space="preserve">W0409_BRIP1_E14</t>
        </is>
      </c>
      <c r="E409" s="2">
        <v>3093</v>
      </c>
      <c r="F409" s="20" t="inlineStr">
        <is>
          <t xml:space="preserve">+</t>
        </is>
      </c>
      <c r="G409" s="4">
        <v>1.017</v>
      </c>
      <c r="H409" s="2">
        <v>2210</v>
      </c>
      <c r="I409" s="9" t="inlineStr">
        <is>
          <t xml:space="preserve">+</t>
        </is>
      </c>
      <c r="J409" s="4">
        <v>0.997</v>
      </c>
    </row>
    <row r="410">
      <c r="A410" s="6" t="inlineStr">
        <is>
          <t xml:space="preserve">HRD-177-26S052587</t>
        </is>
      </c>
      <c r="B410" s="7" t="inlineStr">
        <is>
          <t xml:space="preserve">HRD-177-26S052587</t>
        </is>
      </c>
      <c r="C410" s="7" t="inlineStr">
        <is>
          <t xml:space="preserve">AHL3NVDRX7_1</t>
        </is>
      </c>
      <c r="D410" s="19" t="inlineStr">
        <is>
          <t xml:space="preserve">W0410_BRIP1_E13</t>
        </is>
      </c>
      <c r="E410" s="2">
        <v>2551</v>
      </c>
      <c r="F410" s="20" t="inlineStr">
        <is>
          <t xml:space="preserve">+</t>
        </is>
      </c>
      <c r="G410" s="4">
        <v>0.838</v>
      </c>
      <c r="H410" s="2">
        <v>1915</v>
      </c>
      <c r="I410" s="9" t="inlineStr">
        <is>
          <t xml:space="preserve">+</t>
        </is>
      </c>
      <c r="J410" s="4">
        <v>0.864</v>
      </c>
    </row>
    <row r="411">
      <c r="A411" s="6" t="inlineStr">
        <is>
          <t xml:space="preserve">HRD-177-26S052587</t>
        </is>
      </c>
      <c r="B411" s="7" t="inlineStr">
        <is>
          <t xml:space="preserve">HRD-177-26S052587</t>
        </is>
      </c>
      <c r="C411" s="7" t="inlineStr">
        <is>
          <t xml:space="preserve">AHL3NVDRX7_1</t>
        </is>
      </c>
      <c r="D411" s="19" t="inlineStr">
        <is>
          <t xml:space="preserve">W0411_BRIP1_E13</t>
        </is>
      </c>
      <c r="E411" s="2">
        <v>3337</v>
      </c>
      <c r="F411" s="20" t="inlineStr">
        <is>
          <t xml:space="preserve">+</t>
        </is>
      </c>
      <c r="G411" s="4">
        <v>1.097</v>
      </c>
      <c r="H411" s="2">
        <v>2379</v>
      </c>
      <c r="I411" s="9" t="inlineStr">
        <is>
          <t xml:space="preserve">+</t>
        </is>
      </c>
      <c r="J411" s="4">
        <v>1.073</v>
      </c>
    </row>
    <row r="412">
      <c r="A412" s="6" t="inlineStr">
        <is>
          <t xml:space="preserve">HRD-177-26S052587</t>
        </is>
      </c>
      <c r="B412" s="7" t="inlineStr">
        <is>
          <t xml:space="preserve">HRD-177-26S052587</t>
        </is>
      </c>
      <c r="C412" s="7" t="inlineStr">
        <is>
          <t xml:space="preserve">AHL3NVDRX7_1</t>
        </is>
      </c>
      <c r="D412" s="19" t="inlineStr">
        <is>
          <t xml:space="preserve">W0412_BRIP1_E12</t>
        </is>
      </c>
      <c r="E412" s="2">
        <v>3905</v>
      </c>
      <c r="F412" s="20" t="inlineStr">
        <is>
          <t xml:space="preserve">+</t>
        </is>
      </c>
      <c r="G412" s="4">
        <v>1.283</v>
      </c>
      <c r="H412" s="2">
        <v>2777</v>
      </c>
      <c r="I412" s="9" t="inlineStr">
        <is>
          <t xml:space="preserve">+</t>
        </is>
      </c>
      <c r="J412" s="4">
        <v>1.253</v>
      </c>
    </row>
    <row r="413">
      <c r="A413" s="6" t="inlineStr">
        <is>
          <t xml:space="preserve">HRD-177-26S052587</t>
        </is>
      </c>
      <c r="B413" s="7" t="inlineStr">
        <is>
          <t xml:space="preserve">HRD-177-26S052587</t>
        </is>
      </c>
      <c r="C413" s="7" t="inlineStr">
        <is>
          <t xml:space="preserve">AHL3NVDRX7_1</t>
        </is>
      </c>
      <c r="D413" s="19" t="inlineStr">
        <is>
          <t xml:space="preserve">W0413_BRIP1_E12</t>
        </is>
      </c>
      <c r="E413" s="2">
        <v>2298</v>
      </c>
      <c r="F413" s="20" t="inlineStr">
        <is>
          <t xml:space="preserve">+</t>
        </is>
      </c>
      <c r="G413" s="4">
        <v>0.755</v>
      </c>
      <c r="H413" s="2">
        <v>1740</v>
      </c>
      <c r="I413" s="9" t="inlineStr">
        <is>
          <t xml:space="preserve">+</t>
        </is>
      </c>
      <c r="J413" s="4">
        <v>0.785</v>
      </c>
    </row>
    <row r="414">
      <c r="A414" s="6" t="inlineStr">
        <is>
          <t xml:space="preserve">HRD-177-26S052587</t>
        </is>
      </c>
      <c r="B414" s="7" t="inlineStr">
        <is>
          <t xml:space="preserve">HRD-177-26S052587</t>
        </is>
      </c>
      <c r="C414" s="7" t="inlineStr">
        <is>
          <t xml:space="preserve">AHL3NVDRX7_1</t>
        </is>
      </c>
      <c r="D414" s="19" t="inlineStr">
        <is>
          <t xml:space="preserve">W0414_BRIP1_E11</t>
        </is>
      </c>
      <c r="E414" s="2">
        <v>2616</v>
      </c>
      <c r="F414" s="20" t="inlineStr">
        <is>
          <t xml:space="preserve">+</t>
        </is>
      </c>
      <c r="G414" s="4">
        <v>0.86</v>
      </c>
      <c r="H414" s="2">
        <v>1950</v>
      </c>
      <c r="I414" s="9" t="inlineStr">
        <is>
          <t xml:space="preserve">+</t>
        </is>
      </c>
      <c r="J414" s="4">
        <v>0.88</v>
      </c>
    </row>
    <row r="415">
      <c r="A415" s="6" t="inlineStr">
        <is>
          <t xml:space="preserve">HRD-177-26S052587</t>
        </is>
      </c>
      <c r="B415" s="7" t="inlineStr">
        <is>
          <t xml:space="preserve">HRD-177-26S052587</t>
        </is>
      </c>
      <c r="C415" s="7" t="inlineStr">
        <is>
          <t xml:space="preserve">AHL3NVDRX7_1</t>
        </is>
      </c>
      <c r="D415" s="19" t="inlineStr">
        <is>
          <t xml:space="preserve">W0415_BRIP1_E11</t>
        </is>
      </c>
      <c r="E415" s="2">
        <v>2013</v>
      </c>
      <c r="F415" s="20" t="inlineStr">
        <is>
          <t xml:space="preserve">+</t>
        </is>
      </c>
      <c r="G415" s="4">
        <v>0.662</v>
      </c>
      <c r="H415" s="2">
        <v>1534</v>
      </c>
      <c r="I415" s="9" t="inlineStr">
        <is>
          <t xml:space="preserve">+</t>
        </is>
      </c>
      <c r="J415" s="4">
        <v>0.692</v>
      </c>
    </row>
    <row r="416">
      <c r="A416" s="6" t="inlineStr">
        <is>
          <t xml:space="preserve">HRD-177-26S052587</t>
        </is>
      </c>
      <c r="B416" s="7" t="inlineStr">
        <is>
          <t xml:space="preserve">HRD-177-26S052587</t>
        </is>
      </c>
      <c r="C416" s="7" t="inlineStr">
        <is>
          <t xml:space="preserve">AHL3NVDRX7_1</t>
        </is>
      </c>
      <c r="D416" s="19" t="inlineStr">
        <is>
          <t xml:space="preserve">W0416_BRIP1_E10</t>
        </is>
      </c>
      <c r="E416" s="2">
        <v>4478</v>
      </c>
      <c r="F416" s="20" t="inlineStr">
        <is>
          <t xml:space="preserve">+</t>
        </is>
      </c>
      <c r="G416" s="4">
        <v>1.472</v>
      </c>
      <c r="H416" s="2">
        <v>3286</v>
      </c>
      <c r="I416" s="9" t="inlineStr">
        <is>
          <t xml:space="preserve">+</t>
        </is>
      </c>
      <c r="J416" s="4">
        <v>1.482</v>
      </c>
    </row>
    <row r="417">
      <c r="A417" s="6" t="inlineStr">
        <is>
          <t xml:space="preserve">HRD-177-26S052587</t>
        </is>
      </c>
      <c r="B417" s="7" t="inlineStr">
        <is>
          <t xml:space="preserve">HRD-177-26S052587</t>
        </is>
      </c>
      <c r="C417" s="7" t="inlineStr">
        <is>
          <t xml:space="preserve">AHL3NVDRX7_1</t>
        </is>
      </c>
      <c r="D417" s="19" t="inlineStr">
        <is>
          <t xml:space="preserve">W0417_BRIP1_E10</t>
        </is>
      </c>
      <c r="E417" s="2">
        <v>3485</v>
      </c>
      <c r="F417" s="20" t="inlineStr">
        <is>
          <t xml:space="preserve">+</t>
        </is>
      </c>
      <c r="G417" s="4">
        <v>1.145</v>
      </c>
      <c r="H417" s="2">
        <v>2583</v>
      </c>
      <c r="I417" s="9" t="inlineStr">
        <is>
          <t xml:space="preserve">+</t>
        </is>
      </c>
      <c r="J417" s="4">
        <v>1.165</v>
      </c>
    </row>
    <row r="418">
      <c r="A418" s="6" t="inlineStr">
        <is>
          <t xml:space="preserve">HRD-177-26S052587</t>
        </is>
      </c>
      <c r="B418" s="7" t="inlineStr">
        <is>
          <t xml:space="preserve">HRD-177-26S052587</t>
        </is>
      </c>
      <c r="C418" s="7" t="inlineStr">
        <is>
          <t xml:space="preserve">AHL3NVDRX7_1</t>
        </is>
      </c>
      <c r="D418" s="19" t="inlineStr">
        <is>
          <t xml:space="preserve">W0418_BRIP1_E09</t>
        </is>
      </c>
      <c r="E418" s="2">
        <v>2768</v>
      </c>
      <c r="F418" s="20" t="inlineStr">
        <is>
          <t xml:space="preserve">+</t>
        </is>
      </c>
      <c r="G418" s="4">
        <v>0.91</v>
      </c>
      <c r="H418" s="2">
        <v>2070</v>
      </c>
      <c r="I418" s="9" t="inlineStr">
        <is>
          <t xml:space="preserve">+</t>
        </is>
      </c>
      <c r="J418" s="4">
        <v>0.934</v>
      </c>
    </row>
    <row r="419">
      <c r="A419" s="6" t="inlineStr">
        <is>
          <t xml:space="preserve">HRD-177-26S052587</t>
        </is>
      </c>
      <c r="B419" s="7" t="inlineStr">
        <is>
          <t xml:space="preserve">HRD-177-26S052587</t>
        </is>
      </c>
      <c r="C419" s="7" t="inlineStr">
        <is>
          <t xml:space="preserve">AHL3NVDRX7_1</t>
        </is>
      </c>
      <c r="D419" s="19" t="inlineStr">
        <is>
          <t xml:space="preserve">W0419_BRIP1_E09</t>
        </is>
      </c>
      <c r="E419" s="2">
        <v>2751</v>
      </c>
      <c r="F419" s="20" t="inlineStr">
        <is>
          <t xml:space="preserve">+</t>
        </is>
      </c>
      <c r="G419" s="4">
        <v>0.904</v>
      </c>
      <c r="H419" s="2">
        <v>2101</v>
      </c>
      <c r="I419" s="9" t="inlineStr">
        <is>
          <t xml:space="preserve">+</t>
        </is>
      </c>
      <c r="J419" s="4">
        <v>0.948</v>
      </c>
    </row>
    <row r="420">
      <c r="A420" s="6" t="inlineStr">
        <is>
          <t xml:space="preserve">HRD-177-26S052587</t>
        </is>
      </c>
      <c r="B420" s="7" t="inlineStr">
        <is>
          <t xml:space="preserve">HRD-177-26S052587</t>
        </is>
      </c>
      <c r="C420" s="7" t="inlineStr">
        <is>
          <t xml:space="preserve">AHL3NVDRX7_1</t>
        </is>
      </c>
      <c r="D420" s="19" t="inlineStr">
        <is>
          <t xml:space="preserve">W0420_BRIP1_E08</t>
        </is>
      </c>
      <c r="E420" s="2">
        <v>1966</v>
      </c>
      <c r="F420" s="20" t="inlineStr">
        <is>
          <t xml:space="preserve">+</t>
        </is>
      </c>
      <c r="G420" s="4">
        <v>0.646</v>
      </c>
      <c r="H420" s="2">
        <v>1491</v>
      </c>
      <c r="I420" s="9" t="inlineStr">
        <is>
          <t xml:space="preserve">+</t>
        </is>
      </c>
      <c r="J420" s="4">
        <v>0.673</v>
      </c>
    </row>
    <row r="421">
      <c r="A421" s="6" t="inlineStr">
        <is>
          <t xml:space="preserve">HRD-177-26S052587</t>
        </is>
      </c>
      <c r="B421" s="7" t="inlineStr">
        <is>
          <t xml:space="preserve">HRD-177-26S052587</t>
        </is>
      </c>
      <c r="C421" s="7" t="inlineStr">
        <is>
          <t xml:space="preserve">AHL3NVDRX7_1</t>
        </is>
      </c>
      <c r="D421" s="19" t="inlineStr">
        <is>
          <t xml:space="preserve">W0421_BRIP1_E08</t>
        </is>
      </c>
      <c r="E421" s="2">
        <v>2264</v>
      </c>
      <c r="F421" s="20" t="inlineStr">
        <is>
          <t xml:space="preserve">+</t>
        </is>
      </c>
      <c r="G421" s="4">
        <v>0.744</v>
      </c>
      <c r="H421" s="2">
        <v>1710</v>
      </c>
      <c r="I421" s="9" t="inlineStr">
        <is>
          <t xml:space="preserve">+</t>
        </is>
      </c>
      <c r="J421" s="4">
        <v>0.771</v>
      </c>
    </row>
    <row r="422">
      <c r="A422" s="6" t="inlineStr">
        <is>
          <t xml:space="preserve">HRD-177-26S052587</t>
        </is>
      </c>
      <c r="B422" s="7" t="inlineStr">
        <is>
          <t xml:space="preserve">HRD-177-26S052587</t>
        </is>
      </c>
      <c r="C422" s="7" t="inlineStr">
        <is>
          <t xml:space="preserve">AHL3NVDRX7_1</t>
        </is>
      </c>
      <c r="D422" s="19" t="inlineStr">
        <is>
          <t xml:space="preserve">W0422_BRIP1_E07</t>
        </is>
      </c>
      <c r="E422" s="2">
        <v>2006</v>
      </c>
      <c r="F422" s="20" t="inlineStr">
        <is>
          <t xml:space="preserve">+</t>
        </is>
      </c>
      <c r="G422" s="4">
        <v>0.659</v>
      </c>
      <c r="H422" s="2">
        <v>1540</v>
      </c>
      <c r="I422" s="9" t="inlineStr">
        <is>
          <t xml:space="preserve">+</t>
        </is>
      </c>
      <c r="J422" s="4">
        <v>0.695</v>
      </c>
    </row>
    <row r="423">
      <c r="A423" s="6" t="inlineStr">
        <is>
          <t xml:space="preserve">HRD-177-26S052587</t>
        </is>
      </c>
      <c r="B423" s="7" t="inlineStr">
        <is>
          <t xml:space="preserve">HRD-177-26S052587</t>
        </is>
      </c>
      <c r="C423" s="7" t="inlineStr">
        <is>
          <t xml:space="preserve">AHL3NVDRX7_1</t>
        </is>
      </c>
      <c r="D423" s="19" t="inlineStr">
        <is>
          <t xml:space="preserve">W0423_BRIP1_E07</t>
        </is>
      </c>
      <c r="E423" s="2">
        <v>3125</v>
      </c>
      <c r="F423" s="20" t="inlineStr">
        <is>
          <t xml:space="preserve">+</t>
        </is>
      </c>
      <c r="G423" s="4">
        <v>1.027</v>
      </c>
      <c r="H423" s="2">
        <v>2370</v>
      </c>
      <c r="I423" s="9" t="inlineStr">
        <is>
          <t xml:space="preserve">+</t>
        </is>
      </c>
      <c r="J423" s="4">
        <v>1.069</v>
      </c>
    </row>
    <row r="424">
      <c r="A424" s="6" t="inlineStr">
        <is>
          <t xml:space="preserve">HRD-177-26S052587</t>
        </is>
      </c>
      <c r="B424" s="7" t="inlineStr">
        <is>
          <t xml:space="preserve">HRD-177-26S052587</t>
        </is>
      </c>
      <c r="C424" s="7" t="inlineStr">
        <is>
          <t xml:space="preserve">AHL3NVDRX7_1</t>
        </is>
      </c>
      <c r="D424" s="19" t="inlineStr">
        <is>
          <t xml:space="preserve">W0424_BRIP1_E07</t>
        </is>
      </c>
      <c r="E424" s="2">
        <v>2014</v>
      </c>
      <c r="F424" s="20" t="inlineStr">
        <is>
          <t xml:space="preserve">+</t>
        </is>
      </c>
      <c r="G424" s="4">
        <v>0.662</v>
      </c>
      <c r="H424" s="2">
        <v>1541</v>
      </c>
      <c r="I424" s="9" t="inlineStr">
        <is>
          <t xml:space="preserve">+</t>
        </is>
      </c>
      <c r="J424" s="4">
        <v>0.695</v>
      </c>
    </row>
    <row r="425">
      <c r="A425" s="6" t="inlineStr">
        <is>
          <t xml:space="preserve">HRD-177-26S052587</t>
        </is>
      </c>
      <c r="B425" s="7" t="inlineStr">
        <is>
          <t xml:space="preserve">HRD-177-26S052587</t>
        </is>
      </c>
      <c r="C425" s="7" t="inlineStr">
        <is>
          <t xml:space="preserve">AHL3NVDRX7_1</t>
        </is>
      </c>
      <c r="D425" s="19" t="inlineStr">
        <is>
          <t xml:space="preserve">W0425_BRIP1_E06</t>
        </is>
      </c>
      <c r="E425" s="2">
        <v>3280</v>
      </c>
      <c r="F425" s="20" t="inlineStr">
        <is>
          <t xml:space="preserve">+</t>
        </is>
      </c>
      <c r="G425" s="4">
        <v>1.078</v>
      </c>
      <c r="H425" s="2">
        <v>2437</v>
      </c>
      <c r="I425" s="9" t="inlineStr">
        <is>
          <t xml:space="preserve">+</t>
        </is>
      </c>
      <c r="J425" s="4">
        <v>1.099</v>
      </c>
    </row>
    <row r="426">
      <c r="A426" s="6" t="inlineStr">
        <is>
          <t xml:space="preserve">HRD-177-26S052587</t>
        </is>
      </c>
      <c r="B426" s="7" t="inlineStr">
        <is>
          <t xml:space="preserve">HRD-177-26S052587</t>
        </is>
      </c>
      <c r="C426" s="7" t="inlineStr">
        <is>
          <t xml:space="preserve">AHL3NVDRX7_1</t>
        </is>
      </c>
      <c r="D426" s="19" t="inlineStr">
        <is>
          <t xml:space="preserve">W0426_BRIP1_E06</t>
        </is>
      </c>
      <c r="E426" s="2">
        <v>3719</v>
      </c>
      <c r="F426" s="20" t="inlineStr">
        <is>
          <t xml:space="preserve">+</t>
        </is>
      </c>
      <c r="G426" s="4">
        <v>1.222</v>
      </c>
      <c r="H426" s="2">
        <v>2656</v>
      </c>
      <c r="I426" s="9" t="inlineStr">
        <is>
          <t xml:space="preserve">+</t>
        </is>
      </c>
      <c r="J426" s="4">
        <v>1.198</v>
      </c>
    </row>
    <row r="427">
      <c r="A427" s="6" t="inlineStr">
        <is>
          <t xml:space="preserve">HRD-177-26S052587</t>
        </is>
      </c>
      <c r="B427" s="7" t="inlineStr">
        <is>
          <t xml:space="preserve">HRD-177-26S052587</t>
        </is>
      </c>
      <c r="C427" s="7" t="inlineStr">
        <is>
          <t xml:space="preserve">AHL3NVDRX7_1</t>
        </is>
      </c>
      <c r="D427" s="19" t="inlineStr">
        <is>
          <t xml:space="preserve">W0427_BRIP1_E05</t>
        </is>
      </c>
      <c r="E427" s="2">
        <v>3047</v>
      </c>
      <c r="F427" s="20" t="inlineStr">
        <is>
          <t xml:space="preserve">+</t>
        </is>
      </c>
      <c r="G427" s="4">
        <v>1.001</v>
      </c>
      <c r="H427" s="2">
        <v>2284</v>
      </c>
      <c r="I427" s="9" t="inlineStr">
        <is>
          <t xml:space="preserve">+</t>
        </is>
      </c>
      <c r="J427" s="4">
        <v>1.03</v>
      </c>
    </row>
    <row r="428">
      <c r="A428" s="6" t="inlineStr">
        <is>
          <t xml:space="preserve">HRD-177-26S052587</t>
        </is>
      </c>
      <c r="B428" s="7" t="inlineStr">
        <is>
          <t xml:space="preserve">HRD-177-26S052587</t>
        </is>
      </c>
      <c r="C428" s="7" t="inlineStr">
        <is>
          <t xml:space="preserve">AHL3NVDRX7_1</t>
        </is>
      </c>
      <c r="D428" s="19" t="inlineStr">
        <is>
          <t xml:space="preserve">W0428_BRIP1_E05</t>
        </is>
      </c>
      <c r="E428" s="2">
        <v>3564</v>
      </c>
      <c r="F428" s="20" t="inlineStr">
        <is>
          <t xml:space="preserve">+</t>
        </is>
      </c>
      <c r="G428" s="4">
        <v>1.171</v>
      </c>
      <c r="H428" s="2">
        <v>2703</v>
      </c>
      <c r="I428" s="9" t="inlineStr">
        <is>
          <t xml:space="preserve">+</t>
        </is>
      </c>
      <c r="J428" s="4">
        <v>1.219</v>
      </c>
    </row>
    <row r="429">
      <c r="A429" s="6" t="inlineStr">
        <is>
          <t xml:space="preserve">HRD-177-26S052587</t>
        </is>
      </c>
      <c r="B429" s="7" t="inlineStr">
        <is>
          <t xml:space="preserve">HRD-177-26S052587</t>
        </is>
      </c>
      <c r="C429" s="7" t="inlineStr">
        <is>
          <t xml:space="preserve">AHL3NVDRX7_1</t>
        </is>
      </c>
      <c r="D429" s="19" t="inlineStr">
        <is>
          <t xml:space="preserve">W0429_BRIP1_E04</t>
        </is>
      </c>
      <c r="E429" s="2">
        <v>1603</v>
      </c>
      <c r="F429" s="20" t="inlineStr">
        <is>
          <t xml:space="preserve">+</t>
        </is>
      </c>
      <c r="G429" s="4">
        <v>0.527</v>
      </c>
      <c r="H429" s="2">
        <v>1230</v>
      </c>
      <c r="I429" s="9" t="inlineStr">
        <is>
          <t xml:space="preserve">+</t>
        </is>
      </c>
      <c r="J429" s="4">
        <v>0.555</v>
      </c>
    </row>
    <row r="430">
      <c r="A430" s="6" t="inlineStr">
        <is>
          <t xml:space="preserve">HRD-177-26S052587</t>
        </is>
      </c>
      <c r="B430" s="7" t="inlineStr">
        <is>
          <t xml:space="preserve">HRD-177-26S052587</t>
        </is>
      </c>
      <c r="C430" s="7" t="inlineStr">
        <is>
          <t xml:space="preserve">AHL3NVDRX7_1</t>
        </is>
      </c>
      <c r="D430" s="19" t="inlineStr">
        <is>
          <t xml:space="preserve">W0430_BRIP1_E04</t>
        </is>
      </c>
      <c r="E430" s="2">
        <v>1443</v>
      </c>
      <c r="F430" s="20" t="inlineStr">
        <is>
          <t xml:space="preserve">+</t>
        </is>
      </c>
      <c r="G430" s="4">
        <v>0.474</v>
      </c>
      <c r="H430" s="2">
        <v>1103</v>
      </c>
      <c r="I430" s="9" t="inlineStr">
        <is>
          <t xml:space="preserve">+</t>
        </is>
      </c>
      <c r="J430" s="4">
        <v>0.498</v>
      </c>
    </row>
    <row r="431">
      <c r="A431" s="6" t="inlineStr">
        <is>
          <t xml:space="preserve">HRD-177-26S052587</t>
        </is>
      </c>
      <c r="B431" s="7" t="inlineStr">
        <is>
          <t xml:space="preserve">HRD-177-26S052587</t>
        </is>
      </c>
      <c r="C431" s="7" t="inlineStr">
        <is>
          <t xml:space="preserve">AHL3NVDRX7_1</t>
        </is>
      </c>
      <c r="D431" s="19" t="inlineStr">
        <is>
          <t xml:space="preserve">W0431_BRIP1_E03</t>
        </is>
      </c>
      <c r="E431" s="2">
        <v>4023</v>
      </c>
      <c r="F431" s="20" t="inlineStr">
        <is>
          <t xml:space="preserve">+</t>
        </is>
      </c>
      <c r="G431" s="4">
        <v>1.322</v>
      </c>
      <c r="H431" s="2">
        <v>2838</v>
      </c>
      <c r="I431" s="9" t="inlineStr">
        <is>
          <t xml:space="preserve">+</t>
        </is>
      </c>
      <c r="J431" s="4">
        <v>1.28</v>
      </c>
    </row>
    <row r="432">
      <c r="A432" s="6" t="inlineStr">
        <is>
          <t xml:space="preserve">HRD-177-26S052587</t>
        </is>
      </c>
      <c r="B432" s="7" t="inlineStr">
        <is>
          <t xml:space="preserve">HRD-177-26S052587</t>
        </is>
      </c>
      <c r="C432" s="7" t="inlineStr">
        <is>
          <t xml:space="preserve">AHL3NVDRX7_1</t>
        </is>
      </c>
      <c r="D432" s="19" t="inlineStr">
        <is>
          <t xml:space="preserve">W0432_BRIP1_E03</t>
        </is>
      </c>
      <c r="E432" s="2">
        <v>3190</v>
      </c>
      <c r="F432" s="20" t="inlineStr">
        <is>
          <t xml:space="preserve">+</t>
        </is>
      </c>
      <c r="G432" s="4">
        <v>1.048</v>
      </c>
      <c r="H432" s="2">
        <v>2352</v>
      </c>
      <c r="I432" s="9" t="inlineStr">
        <is>
          <t xml:space="preserve">+</t>
        </is>
      </c>
      <c r="J432" s="4">
        <v>1.061</v>
      </c>
    </row>
    <row r="433">
      <c r="A433" s="6" t="inlineStr">
        <is>
          <t xml:space="preserve">HRD-177-26S052587</t>
        </is>
      </c>
      <c r="B433" s="7" t="inlineStr">
        <is>
          <t xml:space="preserve">HRD-177-26S052587</t>
        </is>
      </c>
      <c r="C433" s="7" t="inlineStr">
        <is>
          <t xml:space="preserve">AHL3NVDRX7_1</t>
        </is>
      </c>
      <c r="D433" s="19" t="inlineStr">
        <is>
          <t xml:space="preserve">W0433_BRIP1_E02</t>
        </is>
      </c>
      <c r="E433" s="2">
        <v>3774</v>
      </c>
      <c r="F433" s="20" t="inlineStr">
        <is>
          <t xml:space="preserve">+</t>
        </is>
      </c>
      <c r="G433" s="4">
        <v>1.24</v>
      </c>
      <c r="H433" s="2">
        <v>2842</v>
      </c>
      <c r="I433" s="9" t="inlineStr">
        <is>
          <t xml:space="preserve">+</t>
        </is>
      </c>
      <c r="J433" s="4">
        <v>1.282</v>
      </c>
    </row>
    <row r="434">
      <c r="A434" s="6" t="inlineStr">
        <is>
          <t xml:space="preserve">HRD-177-26S052587</t>
        </is>
      </c>
      <c r="B434" s="7" t="inlineStr">
        <is>
          <t xml:space="preserve">HRD-177-26S052587</t>
        </is>
      </c>
      <c r="C434" s="7" t="inlineStr">
        <is>
          <t xml:space="preserve">AHL3NVDRX7_1</t>
        </is>
      </c>
      <c r="D434" s="19" t="inlineStr">
        <is>
          <t xml:space="preserve">W0434_BRIP1_E02</t>
        </is>
      </c>
      <c r="E434" s="2">
        <v>4594</v>
      </c>
      <c r="F434" s="20" t="inlineStr">
        <is>
          <t xml:space="preserve">+</t>
        </is>
      </c>
      <c r="G434" s="4">
        <v>1.51</v>
      </c>
      <c r="H434" s="2">
        <v>3303</v>
      </c>
      <c r="I434" s="9" t="inlineStr">
        <is>
          <t xml:space="preserve">+</t>
        </is>
      </c>
      <c r="J434" s="4">
        <v>1.49</v>
      </c>
    </row>
    <row r="435">
      <c r="A435" s="6" t="inlineStr">
        <is>
          <t xml:space="preserve">HRD-177-26S052587</t>
        </is>
      </c>
      <c r="B435" s="7" t="inlineStr">
        <is>
          <t xml:space="preserve">HRD-177-26S052587</t>
        </is>
      </c>
      <c r="C435" s="7" t="inlineStr">
        <is>
          <t xml:space="preserve">AHL3NVDRX7_1</t>
        </is>
      </c>
      <c r="D435" s="19" t="inlineStr">
        <is>
          <t xml:space="preserve">W0435_CDH1_E01</t>
        </is>
      </c>
      <c r="E435" s="2">
        <v>3087</v>
      </c>
      <c r="F435" s="20" t="inlineStr">
        <is>
          <t xml:space="preserve">+</t>
        </is>
      </c>
      <c r="G435" s="4">
        <v>1.015</v>
      </c>
      <c r="H435" s="2">
        <v>2017</v>
      </c>
      <c r="I435" s="9" t="inlineStr">
        <is>
          <t xml:space="preserve">+</t>
        </is>
      </c>
      <c r="J435" s="4">
        <v>0.91</v>
      </c>
    </row>
    <row r="436">
      <c r="A436" s="6" t="inlineStr">
        <is>
          <t xml:space="preserve">HRD-177-26S052587</t>
        </is>
      </c>
      <c r="B436" s="7" t="inlineStr">
        <is>
          <t xml:space="preserve">HRD-177-26S052587</t>
        </is>
      </c>
      <c r="C436" s="7" t="inlineStr">
        <is>
          <t xml:space="preserve">AHL3NVDRX7_1</t>
        </is>
      </c>
      <c r="D436" s="19" t="inlineStr">
        <is>
          <t xml:space="preserve">W0436_CDH1_E01</t>
        </is>
      </c>
      <c r="E436" s="2">
        <v>2083</v>
      </c>
      <c r="F436" s="20" t="inlineStr">
        <is>
          <t xml:space="preserve">+</t>
        </is>
      </c>
      <c r="G436" s="4">
        <v>0.685</v>
      </c>
      <c r="H436" s="2">
        <v>1369</v>
      </c>
      <c r="I436" s="9" t="inlineStr">
        <is>
          <t xml:space="preserve">+</t>
        </is>
      </c>
      <c r="J436" s="4">
        <v>0.618</v>
      </c>
    </row>
    <row r="437">
      <c r="A437" s="6" t="inlineStr">
        <is>
          <t xml:space="preserve">HRD-177-26S052587</t>
        </is>
      </c>
      <c r="B437" s="7" t="inlineStr">
        <is>
          <t xml:space="preserve">HRD-177-26S052587</t>
        </is>
      </c>
      <c r="C437" s="7" t="inlineStr">
        <is>
          <t xml:space="preserve">AHL3NVDRX7_1</t>
        </is>
      </c>
      <c r="D437" s="19" t="inlineStr">
        <is>
          <t xml:space="preserve">W0437_CDH1_E02</t>
        </is>
      </c>
      <c r="E437" s="2">
        <v>1417</v>
      </c>
      <c r="F437" s="20" t="inlineStr">
        <is>
          <t xml:space="preserve">+</t>
        </is>
      </c>
      <c r="G437" s="4">
        <v>0.466</v>
      </c>
      <c r="H437" s="2">
        <v>1006</v>
      </c>
      <c r="I437" s="9" t="inlineStr">
        <is>
          <t xml:space="preserve">+</t>
        </is>
      </c>
      <c r="J437" s="4">
        <v>0.454</v>
      </c>
    </row>
    <row r="438">
      <c r="A438" s="6" t="inlineStr">
        <is>
          <t xml:space="preserve">HRD-177-26S052587</t>
        </is>
      </c>
      <c r="B438" s="7" t="inlineStr">
        <is>
          <t xml:space="preserve">HRD-177-26S052587</t>
        </is>
      </c>
      <c r="C438" s="7" t="inlineStr">
        <is>
          <t xml:space="preserve">AHL3NVDRX7_1</t>
        </is>
      </c>
      <c r="D438" s="19" t="inlineStr">
        <is>
          <t xml:space="preserve">W0438_CDH1_E02</t>
        </is>
      </c>
      <c r="E438" s="2">
        <v>778</v>
      </c>
      <c r="F438" s="20" t="inlineStr">
        <is>
          <t xml:space="preserve">+</t>
        </is>
      </c>
      <c r="G438" s="4">
        <v>0.256</v>
      </c>
      <c r="H438" s="2">
        <v>545</v>
      </c>
      <c r="I438" s="9" t="inlineStr">
        <is>
          <t xml:space="preserve">+</t>
        </is>
      </c>
      <c r="J438" s="4">
        <v>0.246</v>
      </c>
    </row>
    <row r="439">
      <c r="A439" s="6" t="inlineStr">
        <is>
          <t xml:space="preserve">HRD-177-26S052587</t>
        </is>
      </c>
      <c r="B439" s="7" t="inlineStr">
        <is>
          <t xml:space="preserve">HRD-177-26S052587</t>
        </is>
      </c>
      <c r="C439" s="7" t="inlineStr">
        <is>
          <t xml:space="preserve">AHL3NVDRX7_1</t>
        </is>
      </c>
      <c r="D439" s="19" t="inlineStr">
        <is>
          <t xml:space="preserve">W0439_CDH1_E03</t>
        </is>
      </c>
      <c r="E439" s="2">
        <v>1500</v>
      </c>
      <c r="F439" s="20" t="inlineStr">
        <is>
          <t xml:space="preserve">+</t>
        </is>
      </c>
      <c r="G439" s="4">
        <v>0.493</v>
      </c>
      <c r="H439" s="2">
        <v>1128</v>
      </c>
      <c r="I439" s="9" t="inlineStr">
        <is>
          <t xml:space="preserve">+</t>
        </is>
      </c>
      <c r="J439" s="4">
        <v>0.509</v>
      </c>
    </row>
    <row r="440">
      <c r="A440" s="6" t="inlineStr">
        <is>
          <t xml:space="preserve">HRD-177-26S052587</t>
        </is>
      </c>
      <c r="B440" s="7" t="inlineStr">
        <is>
          <t xml:space="preserve">HRD-177-26S052587</t>
        </is>
      </c>
      <c r="C440" s="7" t="inlineStr">
        <is>
          <t xml:space="preserve">AHL3NVDRX7_1</t>
        </is>
      </c>
      <c r="D440" s="19" t="inlineStr">
        <is>
          <t xml:space="preserve">W0440_CDH1_E03</t>
        </is>
      </c>
      <c r="E440" s="2">
        <v>1677</v>
      </c>
      <c r="F440" s="20" t="inlineStr">
        <is>
          <t xml:space="preserve">+</t>
        </is>
      </c>
      <c r="G440" s="4">
        <v>0.551</v>
      </c>
      <c r="H440" s="2">
        <v>1253</v>
      </c>
      <c r="I440" s="9" t="inlineStr">
        <is>
          <t xml:space="preserve">+</t>
        </is>
      </c>
      <c r="J440" s="4">
        <v>0.565</v>
      </c>
    </row>
    <row r="441">
      <c r="A441" s="6" t="inlineStr">
        <is>
          <t xml:space="preserve">HRD-177-26S052587</t>
        </is>
      </c>
      <c r="B441" s="7" t="inlineStr">
        <is>
          <t xml:space="preserve">HRD-177-26S052587</t>
        </is>
      </c>
      <c r="C441" s="7" t="inlineStr">
        <is>
          <t xml:space="preserve">AHL3NVDRX7_1</t>
        </is>
      </c>
      <c r="D441" s="19" t="inlineStr">
        <is>
          <t xml:space="preserve">W0441_CDH1_E04-05</t>
        </is>
      </c>
      <c r="E441" s="2">
        <v>2361</v>
      </c>
      <c r="F441" s="20" t="inlineStr">
        <is>
          <t xml:space="preserve">+</t>
        </is>
      </c>
      <c r="G441" s="4">
        <v>0.776</v>
      </c>
      <c r="H441" s="2">
        <v>1726</v>
      </c>
      <c r="I441" s="9" t="inlineStr">
        <is>
          <t xml:space="preserve">+</t>
        </is>
      </c>
      <c r="J441" s="4">
        <v>0.779</v>
      </c>
    </row>
    <row r="442">
      <c r="A442" s="6" t="inlineStr">
        <is>
          <t xml:space="preserve">HRD-177-26S052587</t>
        </is>
      </c>
      <c r="B442" s="7" t="inlineStr">
        <is>
          <t xml:space="preserve">HRD-177-26S052587</t>
        </is>
      </c>
      <c r="C442" s="7" t="inlineStr">
        <is>
          <t xml:space="preserve">AHL3NVDRX7_1</t>
        </is>
      </c>
      <c r="D442" s="19" t="inlineStr">
        <is>
          <t xml:space="preserve">W0442_CDH1_E04-05</t>
        </is>
      </c>
      <c r="E442" s="2">
        <v>1542</v>
      </c>
      <c r="F442" s="20" t="inlineStr">
        <is>
          <t xml:space="preserve">+</t>
        </is>
      </c>
      <c r="G442" s="4">
        <v>0.507</v>
      </c>
      <c r="H442" s="2">
        <v>1138</v>
      </c>
      <c r="I442" s="9" t="inlineStr">
        <is>
          <t xml:space="preserve">+</t>
        </is>
      </c>
      <c r="J442" s="4">
        <v>0.513</v>
      </c>
    </row>
    <row r="443">
      <c r="A443" s="6" t="inlineStr">
        <is>
          <t xml:space="preserve">HRD-177-26S052587</t>
        </is>
      </c>
      <c r="B443" s="7" t="inlineStr">
        <is>
          <t xml:space="preserve">HRD-177-26S052587</t>
        </is>
      </c>
      <c r="C443" s="7" t="inlineStr">
        <is>
          <t xml:space="preserve">AHL3NVDRX7_1</t>
        </is>
      </c>
      <c r="D443" s="19" t="inlineStr">
        <is>
          <t xml:space="preserve">W0443_CDH1_E04-05</t>
        </is>
      </c>
      <c r="E443" s="2">
        <v>990</v>
      </c>
      <c r="F443" s="20" t="inlineStr">
        <is>
          <t xml:space="preserve">+</t>
        </is>
      </c>
      <c r="G443" s="4">
        <v>0.325</v>
      </c>
      <c r="H443" s="2">
        <v>733</v>
      </c>
      <c r="I443" s="9" t="inlineStr">
        <is>
          <t xml:space="preserve">+</t>
        </is>
      </c>
      <c r="J443" s="4">
        <v>0.331</v>
      </c>
    </row>
    <row r="444">
      <c r="A444" s="6" t="inlineStr">
        <is>
          <t xml:space="preserve">HRD-177-26S052587</t>
        </is>
      </c>
      <c r="B444" s="7" t="inlineStr">
        <is>
          <t xml:space="preserve">HRD-177-26S052587</t>
        </is>
      </c>
      <c r="C444" s="7" t="inlineStr">
        <is>
          <t xml:space="preserve">AHL3NVDRX7_1</t>
        </is>
      </c>
      <c r="D444" s="19" t="inlineStr">
        <is>
          <t xml:space="preserve">W0444_CDH1_E04-05</t>
        </is>
      </c>
      <c r="E444" s="2">
        <v>2301</v>
      </c>
      <c r="F444" s="20" t="inlineStr">
        <is>
          <t xml:space="preserve">+</t>
        </is>
      </c>
      <c r="G444" s="4">
        <v>0.756</v>
      </c>
      <c r="H444" s="2">
        <v>1655</v>
      </c>
      <c r="I444" s="9" t="inlineStr">
        <is>
          <t xml:space="preserve">+</t>
        </is>
      </c>
      <c r="J444" s="4">
        <v>0.747</v>
      </c>
    </row>
    <row r="445">
      <c r="A445" s="6" t="inlineStr">
        <is>
          <t xml:space="preserve">HRD-177-26S052587</t>
        </is>
      </c>
      <c r="B445" s="7" t="inlineStr">
        <is>
          <t xml:space="preserve">HRD-177-26S052587</t>
        </is>
      </c>
      <c r="C445" s="7" t="inlineStr">
        <is>
          <t xml:space="preserve">AHL3NVDRX7_1</t>
        </is>
      </c>
      <c r="D445" s="19" t="inlineStr">
        <is>
          <t xml:space="preserve">W0445_CDH1_E06</t>
        </is>
      </c>
      <c r="E445" s="2">
        <v>2162</v>
      </c>
      <c r="F445" s="20" t="inlineStr">
        <is>
          <t xml:space="preserve">+</t>
        </is>
      </c>
      <c r="G445" s="4">
        <v>0.711</v>
      </c>
      <c r="H445" s="2">
        <v>1579</v>
      </c>
      <c r="I445" s="9" t="inlineStr">
        <is>
          <t xml:space="preserve">+</t>
        </is>
      </c>
      <c r="J445" s="4">
        <v>0.712</v>
      </c>
    </row>
    <row r="446">
      <c r="A446" s="6" t="inlineStr">
        <is>
          <t xml:space="preserve">HRD-177-26S052587</t>
        </is>
      </c>
      <c r="B446" s="7" t="inlineStr">
        <is>
          <t xml:space="preserve">HRD-177-26S052587</t>
        </is>
      </c>
      <c r="C446" s="7" t="inlineStr">
        <is>
          <t xml:space="preserve">AHL3NVDRX7_1</t>
        </is>
      </c>
      <c r="D446" s="19" t="inlineStr">
        <is>
          <t xml:space="preserve">W0446_CDH1_E06</t>
        </is>
      </c>
      <c r="E446" s="2">
        <v>1849</v>
      </c>
      <c r="F446" s="20" t="inlineStr">
        <is>
          <t xml:space="preserve">+</t>
        </is>
      </c>
      <c r="G446" s="4">
        <v>0.608</v>
      </c>
      <c r="H446" s="2">
        <v>1397</v>
      </c>
      <c r="I446" s="9" t="inlineStr">
        <is>
          <t xml:space="preserve">+</t>
        </is>
      </c>
      <c r="J446" s="4">
        <v>0.63</v>
      </c>
    </row>
    <row r="447">
      <c r="A447" s="6" t="inlineStr">
        <is>
          <t xml:space="preserve">HRD-177-26S052587</t>
        </is>
      </c>
      <c r="B447" s="7" t="inlineStr">
        <is>
          <t xml:space="preserve">HRD-177-26S052587</t>
        </is>
      </c>
      <c r="C447" s="7" t="inlineStr">
        <is>
          <t xml:space="preserve">AHL3NVDRX7_1</t>
        </is>
      </c>
      <c r="D447" s="19" t="inlineStr">
        <is>
          <t xml:space="preserve">W0447_CDH1_E07</t>
        </is>
      </c>
      <c r="E447" s="2">
        <v>2457</v>
      </c>
      <c r="F447" s="20" t="inlineStr">
        <is>
          <t xml:space="preserve">+</t>
        </is>
      </c>
      <c r="G447" s="4">
        <v>0.807</v>
      </c>
      <c r="H447" s="2">
        <v>1762</v>
      </c>
      <c r="I447" s="9" t="inlineStr">
        <is>
          <t xml:space="preserve">+</t>
        </is>
      </c>
      <c r="J447" s="4">
        <v>0.795</v>
      </c>
    </row>
    <row r="448">
      <c r="A448" s="6" t="inlineStr">
        <is>
          <t xml:space="preserve">HRD-177-26S052587</t>
        </is>
      </c>
      <c r="B448" s="7" t="inlineStr">
        <is>
          <t xml:space="preserve">HRD-177-26S052587</t>
        </is>
      </c>
      <c r="C448" s="7" t="inlineStr">
        <is>
          <t xml:space="preserve">AHL3NVDRX7_1</t>
        </is>
      </c>
      <c r="D448" s="19" t="inlineStr">
        <is>
          <t xml:space="preserve">W0448_CDH1_E07</t>
        </is>
      </c>
      <c r="E448" s="2">
        <v>3495</v>
      </c>
      <c r="F448" s="20" t="inlineStr">
        <is>
          <t xml:space="preserve">+</t>
        </is>
      </c>
      <c r="G448" s="4">
        <v>1.149</v>
      </c>
      <c r="H448" s="2">
        <v>2489</v>
      </c>
      <c r="I448" s="9" t="inlineStr">
        <is>
          <t xml:space="preserve">+</t>
        </is>
      </c>
      <c r="J448" s="4">
        <v>1.123</v>
      </c>
    </row>
    <row r="449">
      <c r="A449" s="6" t="inlineStr">
        <is>
          <t xml:space="preserve">HRD-177-26S052587</t>
        </is>
      </c>
      <c r="B449" s="7" t="inlineStr">
        <is>
          <t xml:space="preserve">HRD-177-26S052587</t>
        </is>
      </c>
      <c r="C449" s="7" t="inlineStr">
        <is>
          <t xml:space="preserve">AHL3NVDRX7_1</t>
        </is>
      </c>
      <c r="D449" s="19" t="inlineStr">
        <is>
          <t xml:space="preserve">W0449_CDH1_E08</t>
        </is>
      </c>
      <c r="E449" s="2">
        <v>2954</v>
      </c>
      <c r="F449" s="20" t="inlineStr">
        <is>
          <t xml:space="preserve">+</t>
        </is>
      </c>
      <c r="G449" s="4">
        <v>0.971</v>
      </c>
      <c r="H449" s="2">
        <v>1953</v>
      </c>
      <c r="I449" s="9" t="inlineStr">
        <is>
          <t xml:space="preserve">+</t>
        </is>
      </c>
      <c r="J449" s="4">
        <v>0.881</v>
      </c>
    </row>
    <row r="450">
      <c r="A450" s="6" t="inlineStr">
        <is>
          <t xml:space="preserve">HRD-177-26S052587</t>
        </is>
      </c>
      <c r="B450" s="7" t="inlineStr">
        <is>
          <t xml:space="preserve">HRD-177-26S052587</t>
        </is>
      </c>
      <c r="C450" s="7" t="inlineStr">
        <is>
          <t xml:space="preserve">AHL3NVDRX7_1</t>
        </is>
      </c>
      <c r="D450" s="19" t="inlineStr">
        <is>
          <t xml:space="preserve">W0450_CDH1_E08</t>
        </is>
      </c>
      <c r="E450" s="2">
        <v>2798</v>
      </c>
      <c r="F450" s="20" t="inlineStr">
        <is>
          <t xml:space="preserve">+</t>
        </is>
      </c>
      <c r="G450" s="4">
        <v>0.92</v>
      </c>
      <c r="H450" s="2">
        <v>1976</v>
      </c>
      <c r="I450" s="9" t="inlineStr">
        <is>
          <t xml:space="preserve">+</t>
        </is>
      </c>
      <c r="J450" s="4">
        <v>0.891</v>
      </c>
    </row>
    <row r="451">
      <c r="A451" s="6" t="inlineStr">
        <is>
          <t xml:space="preserve">HRD-177-26S052587</t>
        </is>
      </c>
      <c r="B451" s="7" t="inlineStr">
        <is>
          <t xml:space="preserve">HRD-177-26S052587</t>
        </is>
      </c>
      <c r="C451" s="7" t="inlineStr">
        <is>
          <t xml:space="preserve">AHL3NVDRX7_1</t>
        </is>
      </c>
      <c r="D451" s="19" t="inlineStr">
        <is>
          <t xml:space="preserve">W0451_CDH1_E09</t>
        </is>
      </c>
      <c r="E451" s="2">
        <v>2243</v>
      </c>
      <c r="F451" s="20" t="inlineStr">
        <is>
          <t xml:space="preserve">+</t>
        </is>
      </c>
      <c r="G451" s="4">
        <v>0.737</v>
      </c>
      <c r="H451" s="2">
        <v>1595</v>
      </c>
      <c r="I451" s="9" t="inlineStr">
        <is>
          <t xml:space="preserve">+</t>
        </is>
      </c>
      <c r="J451" s="4">
        <v>0.72</v>
      </c>
    </row>
    <row r="452">
      <c r="A452" s="6" t="inlineStr">
        <is>
          <t xml:space="preserve">HRD-177-26S052587</t>
        </is>
      </c>
      <c r="B452" s="7" t="inlineStr">
        <is>
          <t xml:space="preserve">HRD-177-26S052587</t>
        </is>
      </c>
      <c r="C452" s="7" t="inlineStr">
        <is>
          <t xml:space="preserve">AHL3NVDRX7_1</t>
        </is>
      </c>
      <c r="D452" s="19" t="inlineStr">
        <is>
          <t xml:space="preserve">W0452_CDH1_E09</t>
        </is>
      </c>
      <c r="E452" s="2">
        <v>1805</v>
      </c>
      <c r="F452" s="20" t="inlineStr">
        <is>
          <t xml:space="preserve">+</t>
        </is>
      </c>
      <c r="G452" s="4">
        <v>0.593</v>
      </c>
      <c r="H452" s="2">
        <v>1308</v>
      </c>
      <c r="I452" s="9" t="inlineStr">
        <is>
          <t xml:space="preserve">+</t>
        </is>
      </c>
      <c r="J452" s="4">
        <v>0.59</v>
      </c>
    </row>
    <row r="453">
      <c r="A453" s="6" t="inlineStr">
        <is>
          <t xml:space="preserve">HRD-177-26S052587</t>
        </is>
      </c>
      <c r="B453" s="7" t="inlineStr">
        <is>
          <t xml:space="preserve">HRD-177-26S052587</t>
        </is>
      </c>
      <c r="C453" s="7" t="inlineStr">
        <is>
          <t xml:space="preserve">AHL3NVDRX7_1</t>
        </is>
      </c>
      <c r="D453" s="19" t="inlineStr">
        <is>
          <t xml:space="preserve">W0453_CDH1_E10</t>
        </is>
      </c>
      <c r="E453" s="2">
        <v>1347</v>
      </c>
      <c r="F453" s="20" t="inlineStr">
        <is>
          <t xml:space="preserve">+</t>
        </is>
      </c>
      <c r="G453" s="4">
        <v>0.443</v>
      </c>
      <c r="H453" s="2">
        <v>1018</v>
      </c>
      <c r="I453" s="9" t="inlineStr">
        <is>
          <t xml:space="preserve">+</t>
        </is>
      </c>
      <c r="J453" s="4">
        <v>0.459</v>
      </c>
    </row>
    <row r="454">
      <c r="A454" s="6" t="inlineStr">
        <is>
          <t xml:space="preserve">HRD-177-26S052587</t>
        </is>
      </c>
      <c r="B454" s="7" t="inlineStr">
        <is>
          <t xml:space="preserve">HRD-177-26S052587</t>
        </is>
      </c>
      <c r="C454" s="7" t="inlineStr">
        <is>
          <t xml:space="preserve">AHL3NVDRX7_1</t>
        </is>
      </c>
      <c r="D454" s="19" t="inlineStr">
        <is>
          <t xml:space="preserve">W0454_CDH1_E10</t>
        </is>
      </c>
      <c r="E454" s="2">
        <v>3993</v>
      </c>
      <c r="F454" s="20" t="inlineStr">
        <is>
          <t xml:space="preserve">+</t>
        </is>
      </c>
      <c r="G454" s="4">
        <v>1.312</v>
      </c>
      <c r="H454" s="2">
        <v>2552</v>
      </c>
      <c r="I454" s="9" t="inlineStr">
        <is>
          <t xml:space="preserve">+</t>
        </is>
      </c>
      <c r="J454" s="4">
        <v>1.151</v>
      </c>
    </row>
    <row r="455">
      <c r="A455" s="6" t="inlineStr">
        <is>
          <t xml:space="preserve">HRD-177-26S052587</t>
        </is>
      </c>
      <c r="B455" s="7" t="inlineStr">
        <is>
          <t xml:space="preserve">HRD-177-26S052587</t>
        </is>
      </c>
      <c r="C455" s="7" t="inlineStr">
        <is>
          <t xml:space="preserve">AHL3NVDRX7_1</t>
        </is>
      </c>
      <c r="D455" s="19" t="inlineStr">
        <is>
          <t xml:space="preserve">W0455_CDH1_E10</t>
        </is>
      </c>
      <c r="E455" s="2">
        <v>2310</v>
      </c>
      <c r="F455" s="20" t="inlineStr">
        <is>
          <t xml:space="preserve">+</t>
        </is>
      </c>
      <c r="G455" s="4">
        <v>0.759</v>
      </c>
      <c r="H455" s="2">
        <v>1716</v>
      </c>
      <c r="I455" s="9" t="inlineStr">
        <is>
          <t xml:space="preserve">+</t>
        </is>
      </c>
      <c r="J455" s="4">
        <v>0.774</v>
      </c>
    </row>
    <row r="456">
      <c r="A456" s="6" t="inlineStr">
        <is>
          <t xml:space="preserve">HRD-177-26S052587</t>
        </is>
      </c>
      <c r="B456" s="7" t="inlineStr">
        <is>
          <t xml:space="preserve">HRD-177-26S052587</t>
        </is>
      </c>
      <c r="C456" s="7" t="inlineStr">
        <is>
          <t xml:space="preserve">AHL3NVDRX7_1</t>
        </is>
      </c>
      <c r="D456" s="19" t="inlineStr">
        <is>
          <t xml:space="preserve">W0456_CDH1_E11</t>
        </is>
      </c>
      <c r="E456" s="2">
        <v>2546</v>
      </c>
      <c r="F456" s="20" t="inlineStr">
        <is>
          <t xml:space="preserve">+</t>
        </is>
      </c>
      <c r="G456" s="4">
        <v>0.837</v>
      </c>
      <c r="H456" s="2">
        <v>1839</v>
      </c>
      <c r="I456" s="9" t="inlineStr">
        <is>
          <t xml:space="preserve">+</t>
        </is>
      </c>
      <c r="J456" s="4">
        <v>0.83</v>
      </c>
    </row>
    <row r="457">
      <c r="A457" s="6" t="inlineStr">
        <is>
          <t xml:space="preserve">HRD-177-26S052587</t>
        </is>
      </c>
      <c r="B457" s="7" t="inlineStr">
        <is>
          <t xml:space="preserve">HRD-177-26S052587</t>
        </is>
      </c>
      <c r="C457" s="7" t="inlineStr">
        <is>
          <t xml:space="preserve">AHL3NVDRX7_1</t>
        </is>
      </c>
      <c r="D457" s="19" t="inlineStr">
        <is>
          <t xml:space="preserve">W0457_CDH1_E11</t>
        </is>
      </c>
      <c r="E457" s="2">
        <v>2069</v>
      </c>
      <c r="F457" s="20" t="inlineStr">
        <is>
          <t xml:space="preserve">+</t>
        </is>
      </c>
      <c r="G457" s="4">
        <v>0.68</v>
      </c>
      <c r="H457" s="2">
        <v>1476</v>
      </c>
      <c r="I457" s="9" t="inlineStr">
        <is>
          <t xml:space="preserve">+</t>
        </is>
      </c>
      <c r="J457" s="4">
        <v>0.666</v>
      </c>
    </row>
    <row r="458">
      <c r="A458" s="6" t="inlineStr">
        <is>
          <t xml:space="preserve">HRD-177-26S052587</t>
        </is>
      </c>
      <c r="B458" s="7" t="inlineStr">
        <is>
          <t xml:space="preserve">HRD-177-26S052587</t>
        </is>
      </c>
      <c r="C458" s="7" t="inlineStr">
        <is>
          <t xml:space="preserve">AHL3NVDRX7_1</t>
        </is>
      </c>
      <c r="D458" s="19" t="inlineStr">
        <is>
          <t xml:space="preserve">W0458_CDH1_E12</t>
        </is>
      </c>
      <c r="E458" s="2">
        <v>1647</v>
      </c>
      <c r="F458" s="20" t="inlineStr">
        <is>
          <t xml:space="preserve">+</t>
        </is>
      </c>
      <c r="G458" s="4">
        <v>0.541</v>
      </c>
      <c r="H458" s="2">
        <v>1265</v>
      </c>
      <c r="I458" s="9" t="inlineStr">
        <is>
          <t xml:space="preserve">+</t>
        </is>
      </c>
      <c r="J458" s="4">
        <v>0.571</v>
      </c>
    </row>
    <row r="459">
      <c r="A459" s="6" t="inlineStr">
        <is>
          <t xml:space="preserve">HRD-177-26S052587</t>
        </is>
      </c>
      <c r="B459" s="7" t="inlineStr">
        <is>
          <t xml:space="preserve">HRD-177-26S052587</t>
        </is>
      </c>
      <c r="C459" s="7" t="inlineStr">
        <is>
          <t xml:space="preserve">AHL3NVDRX7_1</t>
        </is>
      </c>
      <c r="D459" s="19" t="inlineStr">
        <is>
          <t xml:space="preserve">W0459_CDH1_E12</t>
        </is>
      </c>
      <c r="E459" s="2">
        <v>1259</v>
      </c>
      <c r="F459" s="20" t="inlineStr">
        <is>
          <t xml:space="preserve">+</t>
        </is>
      </c>
      <c r="G459" s="4">
        <v>0.414</v>
      </c>
      <c r="H459" s="2">
        <v>946</v>
      </c>
      <c r="I459" s="9" t="inlineStr">
        <is>
          <t xml:space="preserve">+</t>
        </is>
      </c>
      <c r="J459" s="4">
        <v>0.427</v>
      </c>
    </row>
    <row r="460">
      <c r="A460" s="6" t="inlineStr">
        <is>
          <t xml:space="preserve">HRD-177-26S052587</t>
        </is>
      </c>
      <c r="B460" s="7" t="inlineStr">
        <is>
          <t xml:space="preserve">HRD-177-26S052587</t>
        </is>
      </c>
      <c r="C460" s="7" t="inlineStr">
        <is>
          <t xml:space="preserve">AHL3NVDRX7_1</t>
        </is>
      </c>
      <c r="D460" s="19" t="inlineStr">
        <is>
          <t xml:space="preserve">W0460_CDH1_E13</t>
        </is>
      </c>
      <c r="E460" s="2">
        <v>2185</v>
      </c>
      <c r="F460" s="20" t="inlineStr">
        <is>
          <t xml:space="preserve">+</t>
        </is>
      </c>
      <c r="G460" s="4">
        <v>0.718</v>
      </c>
      <c r="H460" s="2">
        <v>1604</v>
      </c>
      <c r="I460" s="9" t="inlineStr">
        <is>
          <t xml:space="preserve">+</t>
        </is>
      </c>
      <c r="J460" s="4">
        <v>0.724</v>
      </c>
    </row>
    <row r="461">
      <c r="A461" s="6" t="inlineStr">
        <is>
          <t xml:space="preserve">HRD-177-26S052587</t>
        </is>
      </c>
      <c r="B461" s="7" t="inlineStr">
        <is>
          <t xml:space="preserve">HRD-177-26S052587</t>
        </is>
      </c>
      <c r="C461" s="7" t="inlineStr">
        <is>
          <t xml:space="preserve">AHL3NVDRX7_1</t>
        </is>
      </c>
      <c r="D461" s="19" t="inlineStr">
        <is>
          <t xml:space="preserve">W0461_CDH1_E13</t>
        </is>
      </c>
      <c r="E461" s="2">
        <v>1197</v>
      </c>
      <c r="F461" s="20" t="inlineStr">
        <is>
          <t xml:space="preserve">+</t>
        </is>
      </c>
      <c r="G461" s="4">
        <v>0.393</v>
      </c>
      <c r="H461" s="2">
        <v>920</v>
      </c>
      <c r="I461" s="9" t="inlineStr">
        <is>
          <t xml:space="preserve">+</t>
        </is>
      </c>
      <c r="J461" s="4">
        <v>0.415</v>
      </c>
    </row>
    <row r="462">
      <c r="A462" s="6" t="inlineStr">
        <is>
          <t xml:space="preserve">HRD-177-26S052587</t>
        </is>
      </c>
      <c r="B462" s="7" t="inlineStr">
        <is>
          <t xml:space="preserve">HRD-177-26S052587</t>
        </is>
      </c>
      <c r="C462" s="7" t="inlineStr">
        <is>
          <t xml:space="preserve">AHL3NVDRX7_1</t>
        </is>
      </c>
      <c r="D462" s="19" t="inlineStr">
        <is>
          <t xml:space="preserve">W0462_CDH1_E14</t>
        </is>
      </c>
      <c r="E462" s="2">
        <v>4013</v>
      </c>
      <c r="F462" s="20" t="inlineStr">
        <is>
          <t xml:space="preserve">+</t>
        </is>
      </c>
      <c r="G462" s="4">
        <v>1.319</v>
      </c>
      <c r="H462" s="2">
        <v>2766</v>
      </c>
      <c r="I462" s="9" t="inlineStr">
        <is>
          <t xml:space="preserve">+</t>
        </is>
      </c>
      <c r="J462" s="4">
        <v>1.248</v>
      </c>
    </row>
    <row r="463">
      <c r="A463" s="6" t="inlineStr">
        <is>
          <t xml:space="preserve">HRD-177-26S052587</t>
        </is>
      </c>
      <c r="B463" s="7" t="inlineStr">
        <is>
          <t xml:space="preserve">HRD-177-26S052587</t>
        </is>
      </c>
      <c r="C463" s="7" t="inlineStr">
        <is>
          <t xml:space="preserve">AHL3NVDRX7_1</t>
        </is>
      </c>
      <c r="D463" s="19" t="inlineStr">
        <is>
          <t xml:space="preserve">W0463_CDH1_E14</t>
        </is>
      </c>
      <c r="E463" s="2">
        <v>2122</v>
      </c>
      <c r="F463" s="20" t="inlineStr">
        <is>
          <t xml:space="preserve">+</t>
        </is>
      </c>
      <c r="G463" s="4">
        <v>0.697</v>
      </c>
      <c r="H463" s="2">
        <v>1601</v>
      </c>
      <c r="I463" s="9" t="inlineStr">
        <is>
          <t xml:space="preserve">+</t>
        </is>
      </c>
      <c r="J463" s="4">
        <v>0.722</v>
      </c>
    </row>
    <row r="464">
      <c r="A464" s="6" t="inlineStr">
        <is>
          <t xml:space="preserve">HRD-177-26S052587</t>
        </is>
      </c>
      <c r="B464" s="7" t="inlineStr">
        <is>
          <t xml:space="preserve">HRD-177-26S052587</t>
        </is>
      </c>
      <c r="C464" s="7" t="inlineStr">
        <is>
          <t xml:space="preserve">AHL3NVDRX7_1</t>
        </is>
      </c>
      <c r="D464" s="19" t="inlineStr">
        <is>
          <t xml:space="preserve">W0464_CDH1_E15</t>
        </is>
      </c>
      <c r="E464" s="2">
        <v>1161</v>
      </c>
      <c r="F464" s="20" t="inlineStr">
        <is>
          <t xml:space="preserve">+</t>
        </is>
      </c>
      <c r="G464" s="4">
        <v>0.382</v>
      </c>
      <c r="H464" s="2">
        <v>872</v>
      </c>
      <c r="I464" s="9" t="inlineStr">
        <is>
          <t xml:space="preserve">+</t>
        </is>
      </c>
      <c r="J464" s="4">
        <v>0.393</v>
      </c>
    </row>
    <row r="465">
      <c r="A465" s="6" t="inlineStr">
        <is>
          <t xml:space="preserve">HRD-177-26S052587</t>
        </is>
      </c>
      <c r="B465" s="7" t="inlineStr">
        <is>
          <t xml:space="preserve">HRD-177-26S052587</t>
        </is>
      </c>
      <c r="C465" s="7" t="inlineStr">
        <is>
          <t xml:space="preserve">AHL3NVDRX7_1</t>
        </is>
      </c>
      <c r="D465" s="19" t="inlineStr">
        <is>
          <t xml:space="preserve">W0465_CDH1_E15</t>
        </is>
      </c>
      <c r="E465" s="2">
        <v>2586</v>
      </c>
      <c r="F465" s="20" t="inlineStr">
        <is>
          <t xml:space="preserve">+</t>
        </is>
      </c>
      <c r="G465" s="4">
        <v>0.85</v>
      </c>
      <c r="H465" s="2">
        <v>1788</v>
      </c>
      <c r="I465" s="9" t="inlineStr">
        <is>
          <t xml:space="preserve">+</t>
        </is>
      </c>
      <c r="J465" s="4">
        <v>0.807</v>
      </c>
    </row>
    <row r="466">
      <c r="A466" s="6" t="inlineStr">
        <is>
          <t xml:space="preserve">HRD-177-26S052587</t>
        </is>
      </c>
      <c r="B466" s="7" t="inlineStr">
        <is>
          <t xml:space="preserve">HRD-177-26S052587</t>
        </is>
      </c>
      <c r="C466" s="7" t="inlineStr">
        <is>
          <t xml:space="preserve">AHL3NVDRX7_1</t>
        </is>
      </c>
      <c r="D466" s="19" t="inlineStr">
        <is>
          <t xml:space="preserve">W0466_CDH1_E16</t>
        </is>
      </c>
      <c r="E466" s="2">
        <v>1869</v>
      </c>
      <c r="F466" s="20" t="inlineStr">
        <is>
          <t xml:space="preserve">+</t>
        </is>
      </c>
      <c r="G466" s="4">
        <v>0.614</v>
      </c>
      <c r="H466" s="2">
        <v>1411</v>
      </c>
      <c r="I466" s="9" t="inlineStr">
        <is>
          <t xml:space="preserve">+</t>
        </is>
      </c>
      <c r="J466" s="4">
        <v>0.637</v>
      </c>
    </row>
    <row r="467">
      <c r="A467" s="6" t="inlineStr">
        <is>
          <t xml:space="preserve">HRD-177-26S052587</t>
        </is>
      </c>
      <c r="B467" s="7" t="inlineStr">
        <is>
          <t xml:space="preserve">HRD-177-26S052587</t>
        </is>
      </c>
      <c r="C467" s="7" t="inlineStr">
        <is>
          <t xml:space="preserve">AHL3NVDRX7_1</t>
        </is>
      </c>
      <c r="D467" s="19" t="inlineStr">
        <is>
          <t xml:space="preserve">W0467_CDH1_E16</t>
        </is>
      </c>
      <c r="E467" s="2">
        <v>1453</v>
      </c>
      <c r="F467" s="20" t="inlineStr">
        <is>
          <t xml:space="preserve">+</t>
        </is>
      </c>
      <c r="G467" s="4">
        <v>0.478</v>
      </c>
      <c r="H467" s="2">
        <v>1088</v>
      </c>
      <c r="I467" s="9" t="inlineStr">
        <is>
          <t xml:space="preserve">+</t>
        </is>
      </c>
      <c r="J467" s="4">
        <v>0.491</v>
      </c>
    </row>
    <row r="468">
      <c r="A468" s="6" t="inlineStr">
        <is>
          <t xml:space="preserve">HRD-177-26S052587</t>
        </is>
      </c>
      <c r="B468" s="7" t="inlineStr">
        <is>
          <t xml:space="preserve">HRD-177-26S052587</t>
        </is>
      </c>
      <c r="C468" s="7" t="inlineStr">
        <is>
          <t xml:space="preserve">AHL3NVDRX7_1</t>
        </is>
      </c>
      <c r="D468" s="19" t="inlineStr">
        <is>
          <t xml:space="preserve">W0468_CDK12_E01</t>
        </is>
      </c>
      <c r="E468" s="2">
        <v>1299</v>
      </c>
      <c r="F468" s="20" t="inlineStr">
        <is>
          <t xml:space="preserve">+</t>
        </is>
      </c>
      <c r="G468" s="4">
        <v>0.427</v>
      </c>
      <c r="H468" s="2">
        <v>959</v>
      </c>
      <c r="I468" s="9" t="inlineStr">
        <is>
          <t xml:space="preserve">+</t>
        </is>
      </c>
      <c r="J468" s="4">
        <v>0.433</v>
      </c>
    </row>
    <row r="469">
      <c r="A469" s="6" t="inlineStr">
        <is>
          <t xml:space="preserve">HRD-177-26S052587</t>
        </is>
      </c>
      <c r="B469" s="7" t="inlineStr">
        <is>
          <t xml:space="preserve">HRD-177-26S052587</t>
        </is>
      </c>
      <c r="C469" s="7" t="inlineStr">
        <is>
          <t xml:space="preserve">AHL3NVDRX7_1</t>
        </is>
      </c>
      <c r="D469" s="19" t="inlineStr">
        <is>
          <t xml:space="preserve">W0469_CDK12_E01</t>
        </is>
      </c>
      <c r="E469" s="2">
        <v>1023</v>
      </c>
      <c r="F469" s="20" t="inlineStr">
        <is>
          <t xml:space="preserve">+</t>
        </is>
      </c>
      <c r="G469" s="4">
        <v>0.336</v>
      </c>
      <c r="H469" s="2">
        <v>712</v>
      </c>
      <c r="I469" s="9" t="inlineStr">
        <is>
          <t xml:space="preserve">+</t>
        </is>
      </c>
      <c r="J469" s="4">
        <v>0.321</v>
      </c>
    </row>
    <row r="470">
      <c r="A470" s="6" t="inlineStr">
        <is>
          <t xml:space="preserve">HRD-177-26S052587</t>
        </is>
      </c>
      <c r="B470" s="7" t="inlineStr">
        <is>
          <t xml:space="preserve">HRD-177-26S052587</t>
        </is>
      </c>
      <c r="C470" s="7" t="inlineStr">
        <is>
          <t xml:space="preserve">AHL3NVDRX7_1</t>
        </is>
      </c>
      <c r="D470" s="19" t="inlineStr">
        <is>
          <t xml:space="preserve">W0470_CDK12_E01</t>
        </is>
      </c>
      <c r="E470" s="2">
        <v>1584</v>
      </c>
      <c r="F470" s="20" t="inlineStr">
        <is>
          <t xml:space="preserve">+</t>
        </is>
      </c>
      <c r="G470" s="4">
        <v>0.521</v>
      </c>
      <c r="H470" s="2">
        <v>1186</v>
      </c>
      <c r="I470" s="9" t="inlineStr">
        <is>
          <t xml:space="preserve">+</t>
        </is>
      </c>
      <c r="J470" s="4">
        <v>0.535</v>
      </c>
    </row>
    <row r="471">
      <c r="A471" s="6" t="inlineStr">
        <is>
          <t xml:space="preserve">HRD-177-26S052587</t>
        </is>
      </c>
      <c r="B471" s="7" t="inlineStr">
        <is>
          <t xml:space="preserve">HRD-177-26S052587</t>
        </is>
      </c>
      <c r="C471" s="7" t="inlineStr">
        <is>
          <t xml:space="preserve">AHL3NVDRX7_1</t>
        </is>
      </c>
      <c r="D471" s="19" t="inlineStr">
        <is>
          <t xml:space="preserve">W0471_CDK12_E01</t>
        </is>
      </c>
      <c r="E471" s="2">
        <v>1661</v>
      </c>
      <c r="F471" s="20" t="inlineStr">
        <is>
          <t xml:space="preserve">+</t>
        </is>
      </c>
      <c r="G471" s="4">
        <v>0.546</v>
      </c>
      <c r="H471" s="2">
        <v>1246</v>
      </c>
      <c r="I471" s="9" t="inlineStr">
        <is>
          <t xml:space="preserve">+</t>
        </is>
      </c>
      <c r="J471" s="4">
        <v>0.562</v>
      </c>
    </row>
    <row r="472">
      <c r="A472" s="6" t="inlineStr">
        <is>
          <t xml:space="preserve">HRD-177-26S052587</t>
        </is>
      </c>
      <c r="B472" s="7" t="inlineStr">
        <is>
          <t xml:space="preserve">HRD-177-26S052587</t>
        </is>
      </c>
      <c r="C472" s="7" t="inlineStr">
        <is>
          <t xml:space="preserve">AHL3NVDRX7_1</t>
        </is>
      </c>
      <c r="D472" s="19" t="inlineStr">
        <is>
          <t xml:space="preserve">W0472_CDK12_E01</t>
        </is>
      </c>
      <c r="E472" s="2">
        <v>1942</v>
      </c>
      <c r="F472" s="20" t="inlineStr">
        <is>
          <t xml:space="preserve">+</t>
        </is>
      </c>
      <c r="G472" s="4">
        <v>0.638</v>
      </c>
      <c r="H472" s="2">
        <v>1445</v>
      </c>
      <c r="I472" s="9" t="inlineStr">
        <is>
          <t xml:space="preserve">+</t>
        </is>
      </c>
      <c r="J472" s="4">
        <v>0.652</v>
      </c>
    </row>
    <row r="473">
      <c r="A473" s="6" t="inlineStr">
        <is>
          <t xml:space="preserve">HRD-177-26S052587</t>
        </is>
      </c>
      <c r="B473" s="7" t="inlineStr">
        <is>
          <t xml:space="preserve">HRD-177-26S052587</t>
        </is>
      </c>
      <c r="C473" s="7" t="inlineStr">
        <is>
          <t xml:space="preserve">AHL3NVDRX7_1</t>
        </is>
      </c>
      <c r="D473" s="19" t="inlineStr">
        <is>
          <t xml:space="preserve">W0473_CDK12_E01</t>
        </is>
      </c>
      <c r="E473" s="2">
        <v>1711</v>
      </c>
      <c r="F473" s="20" t="inlineStr">
        <is>
          <t xml:space="preserve">+</t>
        </is>
      </c>
      <c r="G473" s="4">
        <v>0.562</v>
      </c>
      <c r="H473" s="2">
        <v>1308</v>
      </c>
      <c r="I473" s="9" t="inlineStr">
        <is>
          <t xml:space="preserve">+</t>
        </is>
      </c>
      <c r="J473" s="4">
        <v>0.59</v>
      </c>
    </row>
    <row r="474">
      <c r="A474" s="6" t="inlineStr">
        <is>
          <t xml:space="preserve">HRD-177-26S052587</t>
        </is>
      </c>
      <c r="B474" s="7" t="inlineStr">
        <is>
          <t xml:space="preserve">HRD-177-26S052587</t>
        </is>
      </c>
      <c r="C474" s="7" t="inlineStr">
        <is>
          <t xml:space="preserve">AHL3NVDRX7_1</t>
        </is>
      </c>
      <c r="D474" s="19" t="inlineStr">
        <is>
          <t xml:space="preserve">W0474_CDK12_E01</t>
        </is>
      </c>
      <c r="E474" s="2">
        <v>1119</v>
      </c>
      <c r="F474" s="20" t="inlineStr">
        <is>
          <t xml:space="preserve">+</t>
        </is>
      </c>
      <c r="G474" s="4">
        <v>0.368</v>
      </c>
      <c r="H474" s="2">
        <v>848</v>
      </c>
      <c r="I474" s="9" t="inlineStr">
        <is>
          <t xml:space="preserve">+</t>
        </is>
      </c>
      <c r="J474" s="4">
        <v>0.383</v>
      </c>
    </row>
    <row r="475">
      <c r="A475" s="6" t="inlineStr">
        <is>
          <t xml:space="preserve">HRD-177-26S052587</t>
        </is>
      </c>
      <c r="B475" s="7" t="inlineStr">
        <is>
          <t xml:space="preserve">HRD-177-26S052587</t>
        </is>
      </c>
      <c r="C475" s="7" t="inlineStr">
        <is>
          <t xml:space="preserve">AHL3NVDRX7_1</t>
        </is>
      </c>
      <c r="D475" s="19" t="inlineStr">
        <is>
          <t xml:space="preserve">W0475_CDK12_E01</t>
        </is>
      </c>
      <c r="E475" s="2">
        <v>1571</v>
      </c>
      <c r="F475" s="20" t="inlineStr">
        <is>
          <t xml:space="preserve">+</t>
        </is>
      </c>
      <c r="G475" s="4">
        <v>0.516</v>
      </c>
      <c r="H475" s="2">
        <v>1158</v>
      </c>
      <c r="I475" s="9" t="inlineStr">
        <is>
          <t xml:space="preserve">+</t>
        </is>
      </c>
      <c r="J475" s="4">
        <v>0.522</v>
      </c>
    </row>
    <row r="476">
      <c r="A476" s="6" t="inlineStr">
        <is>
          <t xml:space="preserve">HRD-177-26S052587</t>
        </is>
      </c>
      <c r="B476" s="7" t="inlineStr">
        <is>
          <t xml:space="preserve">HRD-177-26S052587</t>
        </is>
      </c>
      <c r="C476" s="7" t="inlineStr">
        <is>
          <t xml:space="preserve">AHL3NVDRX7_1</t>
        </is>
      </c>
      <c r="D476" s="19" t="inlineStr">
        <is>
          <t xml:space="preserve">W0476_CDK12_E02</t>
        </is>
      </c>
      <c r="E476" s="2">
        <v>2727</v>
      </c>
      <c r="F476" s="20" t="inlineStr">
        <is>
          <t xml:space="preserve">+</t>
        </is>
      </c>
      <c r="G476" s="4">
        <v>0.896</v>
      </c>
      <c r="H476" s="2">
        <v>2021</v>
      </c>
      <c r="I476" s="9" t="inlineStr">
        <is>
          <t xml:space="preserve">+</t>
        </is>
      </c>
      <c r="J476" s="4">
        <v>0.912</v>
      </c>
    </row>
    <row r="477">
      <c r="A477" s="6" t="inlineStr">
        <is>
          <t xml:space="preserve">HRD-177-26S052587</t>
        </is>
      </c>
      <c r="B477" s="7" t="inlineStr">
        <is>
          <t xml:space="preserve">HRD-177-26S052587</t>
        </is>
      </c>
      <c r="C477" s="7" t="inlineStr">
        <is>
          <t xml:space="preserve">AHL3NVDRX7_1</t>
        </is>
      </c>
      <c r="D477" s="19" t="inlineStr">
        <is>
          <t xml:space="preserve">W0477_CDK12_E02</t>
        </is>
      </c>
      <c r="E477" s="2">
        <v>2090</v>
      </c>
      <c r="F477" s="20" t="inlineStr">
        <is>
          <t xml:space="preserve">+</t>
        </is>
      </c>
      <c r="G477" s="4">
        <v>0.687</v>
      </c>
      <c r="H477" s="2">
        <v>1585</v>
      </c>
      <c r="I477" s="9" t="inlineStr">
        <is>
          <t xml:space="preserve">+</t>
        </is>
      </c>
      <c r="J477" s="4">
        <v>0.715</v>
      </c>
    </row>
    <row r="478">
      <c r="A478" s="6" t="inlineStr">
        <is>
          <t xml:space="preserve">HRD-177-26S052587</t>
        </is>
      </c>
      <c r="B478" s="7" t="inlineStr">
        <is>
          <t xml:space="preserve">HRD-177-26S052587</t>
        </is>
      </c>
      <c r="C478" s="7" t="inlineStr">
        <is>
          <t xml:space="preserve">AHL3NVDRX7_1</t>
        </is>
      </c>
      <c r="D478" s="19" t="inlineStr">
        <is>
          <t xml:space="preserve">W0478_CDK12_E02</t>
        </is>
      </c>
      <c r="E478" s="2">
        <v>751</v>
      </c>
      <c r="F478" s="20" t="inlineStr">
        <is>
          <t xml:space="preserve">+</t>
        </is>
      </c>
      <c r="G478" s="4">
        <v>0.247</v>
      </c>
      <c r="H478" s="2">
        <v>611</v>
      </c>
      <c r="I478" s="9" t="inlineStr">
        <is>
          <t xml:space="preserve">+</t>
        </is>
      </c>
      <c r="J478" s="4">
        <v>0.276</v>
      </c>
    </row>
    <row r="479">
      <c r="A479" s="6" t="inlineStr">
        <is>
          <t xml:space="preserve">HRD-177-26S052587</t>
        </is>
      </c>
      <c r="B479" s="7" t="inlineStr">
        <is>
          <t xml:space="preserve">HRD-177-26S052587</t>
        </is>
      </c>
      <c r="C479" s="7" t="inlineStr">
        <is>
          <t xml:space="preserve">AHL3NVDRX7_1</t>
        </is>
      </c>
      <c r="D479" s="19" t="inlineStr">
        <is>
          <t xml:space="preserve">W0479_CDK12_E02</t>
        </is>
      </c>
      <c r="E479" s="2">
        <v>2666</v>
      </c>
      <c r="F479" s="20" t="inlineStr">
        <is>
          <t xml:space="preserve">+</t>
        </is>
      </c>
      <c r="G479" s="4">
        <v>0.876</v>
      </c>
      <c r="H479" s="2">
        <v>1992</v>
      </c>
      <c r="I479" s="9" t="inlineStr">
        <is>
          <t xml:space="preserve">+</t>
        </is>
      </c>
      <c r="J479" s="4">
        <v>0.899</v>
      </c>
    </row>
    <row r="480">
      <c r="A480" s="6" t="inlineStr">
        <is>
          <t xml:space="preserve">HRD-177-26S052587</t>
        </is>
      </c>
      <c r="B480" s="7" t="inlineStr">
        <is>
          <t xml:space="preserve">HRD-177-26S052587</t>
        </is>
      </c>
      <c r="C480" s="7" t="inlineStr">
        <is>
          <t xml:space="preserve">AHL3NVDRX7_1</t>
        </is>
      </c>
      <c r="D480" s="19" t="inlineStr">
        <is>
          <t xml:space="preserve">W0480_CDK12_E02</t>
        </is>
      </c>
      <c r="E480" s="2">
        <v>2858</v>
      </c>
      <c r="F480" s="20" t="inlineStr">
        <is>
          <t xml:space="preserve">+</t>
        </is>
      </c>
      <c r="G480" s="4">
        <v>0.939</v>
      </c>
      <c r="H480" s="2">
        <v>2063</v>
      </c>
      <c r="I480" s="9" t="inlineStr">
        <is>
          <t xml:space="preserve">+</t>
        </is>
      </c>
      <c r="J480" s="4">
        <v>0.931</v>
      </c>
    </row>
    <row r="481">
      <c r="A481" s="6" t="inlineStr">
        <is>
          <t xml:space="preserve">HRD-177-26S052587</t>
        </is>
      </c>
      <c r="B481" s="7" t="inlineStr">
        <is>
          <t xml:space="preserve">HRD-177-26S052587</t>
        </is>
      </c>
      <c r="C481" s="7" t="inlineStr">
        <is>
          <t xml:space="preserve">AHL3NVDRX7_1</t>
        </is>
      </c>
      <c r="D481" s="19" t="inlineStr">
        <is>
          <t xml:space="preserve">W0482_CDK12_E02</t>
        </is>
      </c>
      <c r="E481" s="2">
        <v>4728</v>
      </c>
      <c r="F481" s="20" t="inlineStr">
        <is>
          <t xml:space="preserve">+</t>
        </is>
      </c>
      <c r="G481" s="4">
        <v>1.554</v>
      </c>
      <c r="H481" s="2">
        <v>3354</v>
      </c>
      <c r="I481" s="9" t="inlineStr">
        <is>
          <t xml:space="preserve">+</t>
        </is>
      </c>
      <c r="J481" s="4">
        <v>1.513</v>
      </c>
    </row>
    <row r="482">
      <c r="A482" s="6" t="inlineStr">
        <is>
          <t xml:space="preserve">HRD-177-26S052587</t>
        </is>
      </c>
      <c r="B482" s="7" t="inlineStr">
        <is>
          <t xml:space="preserve">HRD-177-26S052587</t>
        </is>
      </c>
      <c r="C482" s="7" t="inlineStr">
        <is>
          <t xml:space="preserve">AHL3NVDRX7_1</t>
        </is>
      </c>
      <c r="D482" s="19" t="inlineStr">
        <is>
          <t xml:space="preserve">W0483_CDK12_E02</t>
        </is>
      </c>
      <c r="E482" s="2">
        <v>1479</v>
      </c>
      <c r="F482" s="20" t="inlineStr">
        <is>
          <t xml:space="preserve">+</t>
        </is>
      </c>
      <c r="G482" s="4">
        <v>0.486</v>
      </c>
      <c r="H482" s="2">
        <v>1062</v>
      </c>
      <c r="I482" s="9" t="inlineStr">
        <is>
          <t xml:space="preserve">+</t>
        </is>
      </c>
      <c r="J482" s="4">
        <v>0.479</v>
      </c>
    </row>
    <row r="483">
      <c r="A483" s="6" t="inlineStr">
        <is>
          <t xml:space="preserve">HRD-177-26S052587</t>
        </is>
      </c>
      <c r="B483" s="7" t="inlineStr">
        <is>
          <t xml:space="preserve">HRD-177-26S052587</t>
        </is>
      </c>
      <c r="C483" s="7" t="inlineStr">
        <is>
          <t xml:space="preserve">AHL3NVDRX7_1</t>
        </is>
      </c>
      <c r="D483" s="19" t="inlineStr">
        <is>
          <t xml:space="preserve">W0484_CDK12_E02</t>
        </is>
      </c>
      <c r="E483" s="2">
        <v>3525</v>
      </c>
      <c r="F483" s="20" t="inlineStr">
        <is>
          <t xml:space="preserve">+</t>
        </is>
      </c>
      <c r="G483" s="4">
        <v>1.158</v>
      </c>
      <c r="H483" s="2">
        <v>2554</v>
      </c>
      <c r="I483" s="9" t="inlineStr">
        <is>
          <t xml:space="preserve">+</t>
        </is>
      </c>
      <c r="J483" s="4">
        <v>1.152</v>
      </c>
    </row>
    <row r="484">
      <c r="A484" s="6" t="inlineStr">
        <is>
          <t xml:space="preserve">HRD-177-26S052587</t>
        </is>
      </c>
      <c r="B484" s="7" t="inlineStr">
        <is>
          <t xml:space="preserve">HRD-177-26S052587</t>
        </is>
      </c>
      <c r="C484" s="7" t="inlineStr">
        <is>
          <t xml:space="preserve">AHL3NVDRX7_1</t>
        </is>
      </c>
      <c r="D484" s="19" t="inlineStr">
        <is>
          <t xml:space="preserve">W0485_CDK12_E02</t>
        </is>
      </c>
      <c r="E484" s="2">
        <v>647</v>
      </c>
      <c r="F484" s="20" t="inlineStr">
        <is>
          <t xml:space="preserve">+</t>
        </is>
      </c>
      <c r="G484" s="4">
        <v>0.213</v>
      </c>
      <c r="H484" s="2">
        <v>500</v>
      </c>
      <c r="I484" s="9" t="inlineStr">
        <is>
          <t xml:space="preserve">+</t>
        </is>
      </c>
      <c r="J484" s="4">
        <v>0.226</v>
      </c>
    </row>
    <row r="485">
      <c r="A485" s="6" t="inlineStr">
        <is>
          <t xml:space="preserve">HRD-177-26S052587</t>
        </is>
      </c>
      <c r="B485" s="7" t="inlineStr">
        <is>
          <t xml:space="preserve">HRD-177-26S052587</t>
        </is>
      </c>
      <c r="C485" s="7" t="inlineStr">
        <is>
          <t xml:space="preserve">AHL3NVDRX7_1</t>
        </is>
      </c>
      <c r="D485" s="19" t="inlineStr">
        <is>
          <t xml:space="preserve">W0486_CDK12_E03</t>
        </is>
      </c>
      <c r="E485" s="2">
        <v>727</v>
      </c>
      <c r="F485" s="20" t="inlineStr">
        <is>
          <t xml:space="preserve">+</t>
        </is>
      </c>
      <c r="G485" s="4">
        <v>0.239</v>
      </c>
      <c r="H485" s="2">
        <v>580</v>
      </c>
      <c r="I485" s="9" t="inlineStr">
        <is>
          <t xml:space="preserve">+</t>
        </is>
      </c>
      <c r="J485" s="4">
        <v>0.262</v>
      </c>
    </row>
    <row r="486">
      <c r="A486" s="6" t="inlineStr">
        <is>
          <t xml:space="preserve">HRD-177-26S052587</t>
        </is>
      </c>
      <c r="B486" s="7" t="inlineStr">
        <is>
          <t xml:space="preserve">HRD-177-26S052587</t>
        </is>
      </c>
      <c r="C486" s="7" t="inlineStr">
        <is>
          <t xml:space="preserve">AHL3NVDRX7_1</t>
        </is>
      </c>
      <c r="D486" s="19" t="inlineStr">
        <is>
          <t xml:space="preserve">W0487_CDK12_E03</t>
        </is>
      </c>
      <c r="E486" s="2">
        <v>2949</v>
      </c>
      <c r="F486" s="20" t="inlineStr">
        <is>
          <t xml:space="preserve">+</t>
        </is>
      </c>
      <c r="G486" s="4">
        <v>0.969</v>
      </c>
      <c r="H486" s="2">
        <v>2265</v>
      </c>
      <c r="I486" s="9" t="inlineStr">
        <is>
          <t xml:space="preserve">+</t>
        </is>
      </c>
      <c r="J486" s="4">
        <v>1.022</v>
      </c>
    </row>
    <row r="487">
      <c r="A487" s="6" t="inlineStr">
        <is>
          <t xml:space="preserve">HRD-177-26S052587</t>
        </is>
      </c>
      <c r="B487" s="7" t="inlineStr">
        <is>
          <t xml:space="preserve">HRD-177-26S052587</t>
        </is>
      </c>
      <c r="C487" s="7" t="inlineStr">
        <is>
          <t xml:space="preserve">AHL3NVDRX7_1</t>
        </is>
      </c>
      <c r="D487" s="19" t="inlineStr">
        <is>
          <t xml:space="preserve">W0488_CDK12_E04</t>
        </is>
      </c>
      <c r="E487" s="2">
        <v>1388</v>
      </c>
      <c r="F487" s="20" t="inlineStr">
        <is>
          <t xml:space="preserve">+</t>
        </is>
      </c>
      <c r="G487" s="4">
        <v>0.456</v>
      </c>
      <c r="H487" s="2">
        <v>1042</v>
      </c>
      <c r="I487" s="9" t="inlineStr">
        <is>
          <t xml:space="preserve">+</t>
        </is>
      </c>
      <c r="J487" s="4">
        <v>0.47</v>
      </c>
    </row>
    <row r="488">
      <c r="A488" s="6" t="inlineStr">
        <is>
          <t xml:space="preserve">HRD-177-26S052587</t>
        </is>
      </c>
      <c r="B488" s="7" t="inlineStr">
        <is>
          <t xml:space="preserve">HRD-177-26S052587</t>
        </is>
      </c>
      <c r="C488" s="7" t="inlineStr">
        <is>
          <t xml:space="preserve">AHL3NVDRX7_1</t>
        </is>
      </c>
      <c r="D488" s="19" t="inlineStr">
        <is>
          <t xml:space="preserve">W0489_CDK12_E04</t>
        </is>
      </c>
      <c r="E488" s="2">
        <v>1813</v>
      </c>
      <c r="F488" s="20" t="inlineStr">
        <is>
          <t xml:space="preserve">+</t>
        </is>
      </c>
      <c r="G488" s="4">
        <v>0.596</v>
      </c>
      <c r="H488" s="2">
        <v>1359</v>
      </c>
      <c r="I488" s="9" t="inlineStr">
        <is>
          <t xml:space="preserve">+</t>
        </is>
      </c>
      <c r="J488" s="4">
        <v>0.613</v>
      </c>
    </row>
    <row r="489">
      <c r="A489" s="6" t="inlineStr">
        <is>
          <t xml:space="preserve">HRD-177-26S052587</t>
        </is>
      </c>
      <c r="B489" s="7" t="inlineStr">
        <is>
          <t xml:space="preserve">HRD-177-26S052587</t>
        </is>
      </c>
      <c r="C489" s="7" t="inlineStr">
        <is>
          <t xml:space="preserve">AHL3NVDRX7_1</t>
        </is>
      </c>
      <c r="D489" s="19" t="inlineStr">
        <is>
          <t xml:space="preserve">W0490_CDK12_E05</t>
        </is>
      </c>
      <c r="E489" s="2">
        <v>2502</v>
      </c>
      <c r="F489" s="20" t="inlineStr">
        <is>
          <t xml:space="preserve">+</t>
        </is>
      </c>
      <c r="G489" s="4">
        <v>0.822</v>
      </c>
      <c r="H489" s="2">
        <v>1815</v>
      </c>
      <c r="I489" s="9" t="inlineStr">
        <is>
          <t xml:space="preserve">+</t>
        </is>
      </c>
      <c r="J489" s="4">
        <v>0.819</v>
      </c>
    </row>
    <row r="490">
      <c r="A490" s="6" t="inlineStr">
        <is>
          <t xml:space="preserve">HRD-177-26S052587</t>
        </is>
      </c>
      <c r="B490" s="7" t="inlineStr">
        <is>
          <t xml:space="preserve">HRD-177-26S052587</t>
        </is>
      </c>
      <c r="C490" s="7" t="inlineStr">
        <is>
          <t xml:space="preserve">AHL3NVDRX7_1</t>
        </is>
      </c>
      <c r="D490" s="19" t="inlineStr">
        <is>
          <t xml:space="preserve">W0491_CDK12_E05</t>
        </is>
      </c>
      <c r="E490" s="2">
        <v>2251</v>
      </c>
      <c r="F490" s="20" t="inlineStr">
        <is>
          <t xml:space="preserve">+</t>
        </is>
      </c>
      <c r="G490" s="4">
        <v>0.74</v>
      </c>
      <c r="H490" s="2">
        <v>1665</v>
      </c>
      <c r="I490" s="9" t="inlineStr">
        <is>
          <t xml:space="preserve">+</t>
        </is>
      </c>
      <c r="J490" s="4">
        <v>0.751</v>
      </c>
    </row>
    <row r="491">
      <c r="A491" s="6" t="inlineStr">
        <is>
          <t xml:space="preserve">HRD-177-26S052587</t>
        </is>
      </c>
      <c r="B491" s="7" t="inlineStr">
        <is>
          <t xml:space="preserve">HRD-177-26S052587</t>
        </is>
      </c>
      <c r="C491" s="7" t="inlineStr">
        <is>
          <t xml:space="preserve">AHL3NVDRX7_1</t>
        </is>
      </c>
      <c r="D491" s="19" t="inlineStr">
        <is>
          <t xml:space="preserve">W0492_CDK12_E06</t>
        </is>
      </c>
      <c r="E491" s="2">
        <v>2624</v>
      </c>
      <c r="F491" s="20" t="inlineStr">
        <is>
          <t xml:space="preserve">+</t>
        </is>
      </c>
      <c r="G491" s="4">
        <v>0.862</v>
      </c>
      <c r="H491" s="2">
        <v>2018</v>
      </c>
      <c r="I491" s="9" t="inlineStr">
        <is>
          <t xml:space="preserve">+</t>
        </is>
      </c>
      <c r="J491" s="4">
        <v>0.91</v>
      </c>
    </row>
    <row r="492">
      <c r="A492" s="6" t="inlineStr">
        <is>
          <t xml:space="preserve">HRD-177-26S052587</t>
        </is>
      </c>
      <c r="B492" s="7" t="inlineStr">
        <is>
          <t xml:space="preserve">HRD-177-26S052587</t>
        </is>
      </c>
      <c r="C492" s="7" t="inlineStr">
        <is>
          <t xml:space="preserve">AHL3NVDRX7_1</t>
        </is>
      </c>
      <c r="D492" s="19" t="inlineStr">
        <is>
          <t xml:space="preserve">W0493_CDK12_E06</t>
        </is>
      </c>
      <c r="E492" s="2">
        <v>2195</v>
      </c>
      <c r="F492" s="20" t="inlineStr">
        <is>
          <t xml:space="preserve">+</t>
        </is>
      </c>
      <c r="G492" s="4">
        <v>0.721</v>
      </c>
      <c r="H492" s="2">
        <v>1665</v>
      </c>
      <c r="I492" s="9" t="inlineStr">
        <is>
          <t xml:space="preserve">+</t>
        </is>
      </c>
      <c r="J492" s="4">
        <v>0.751</v>
      </c>
    </row>
    <row r="493">
      <c r="A493" s="6" t="inlineStr">
        <is>
          <t xml:space="preserve">HRD-177-26S052587</t>
        </is>
      </c>
      <c r="B493" s="7" t="inlineStr">
        <is>
          <t xml:space="preserve">HRD-177-26S052587</t>
        </is>
      </c>
      <c r="C493" s="7" t="inlineStr">
        <is>
          <t xml:space="preserve">AHL3NVDRX7_1</t>
        </is>
      </c>
      <c r="D493" s="19" t="inlineStr">
        <is>
          <t xml:space="preserve">W0494_CDK12_E07</t>
        </is>
      </c>
      <c r="E493" s="2">
        <v>4797</v>
      </c>
      <c r="F493" s="20" t="inlineStr">
        <is>
          <t xml:space="preserve">+</t>
        </is>
      </c>
      <c r="G493" s="4">
        <v>1.577</v>
      </c>
      <c r="H493" s="2">
        <v>3453</v>
      </c>
      <c r="I493" s="9" t="inlineStr">
        <is>
          <t xml:space="preserve">+</t>
        </is>
      </c>
      <c r="J493" s="4">
        <v>1.558</v>
      </c>
    </row>
    <row r="494">
      <c r="A494" s="6" t="inlineStr">
        <is>
          <t xml:space="preserve">HRD-177-26S052587</t>
        </is>
      </c>
      <c r="B494" s="7" t="inlineStr">
        <is>
          <t xml:space="preserve">HRD-177-26S052587</t>
        </is>
      </c>
      <c r="C494" s="7" t="inlineStr">
        <is>
          <t xml:space="preserve">AHL3NVDRX7_1</t>
        </is>
      </c>
      <c r="D494" s="19" t="inlineStr">
        <is>
          <t xml:space="preserve">W0495_CDK12_E07</t>
        </is>
      </c>
      <c r="E494" s="2">
        <v>5107</v>
      </c>
      <c r="F494" s="20" t="inlineStr">
        <is>
          <t xml:space="preserve">+</t>
        </is>
      </c>
      <c r="G494" s="4">
        <v>1.678</v>
      </c>
      <c r="H494" s="2">
        <v>3733</v>
      </c>
      <c r="I494" s="9" t="inlineStr">
        <is>
          <t xml:space="preserve">+</t>
        </is>
      </c>
      <c r="J494" s="4">
        <v>1.684</v>
      </c>
    </row>
    <row r="495">
      <c r="A495" s="6" t="inlineStr">
        <is>
          <t xml:space="preserve">HRD-177-26S052587</t>
        </is>
      </c>
      <c r="B495" s="7" t="inlineStr">
        <is>
          <t xml:space="preserve">HRD-177-26S052587</t>
        </is>
      </c>
      <c r="C495" s="7" t="inlineStr">
        <is>
          <t xml:space="preserve">AHL3NVDRX7_1</t>
        </is>
      </c>
      <c r="D495" s="19" t="inlineStr">
        <is>
          <t xml:space="preserve">W0496_CDK12_E08</t>
        </is>
      </c>
      <c r="E495" s="2">
        <v>5287</v>
      </c>
      <c r="F495" s="20" t="inlineStr">
        <is>
          <t xml:space="preserve">+</t>
        </is>
      </c>
      <c r="G495" s="4">
        <v>1.738</v>
      </c>
      <c r="H495" s="2">
        <v>3652</v>
      </c>
      <c r="I495" s="9" t="inlineStr">
        <is>
          <t xml:space="preserve">+</t>
        </is>
      </c>
      <c r="J495" s="4">
        <v>1.648</v>
      </c>
    </row>
    <row r="496">
      <c r="A496" s="6" t="inlineStr">
        <is>
          <t xml:space="preserve">HRD-177-26S052587</t>
        </is>
      </c>
      <c r="B496" s="7" t="inlineStr">
        <is>
          <t xml:space="preserve">HRD-177-26S052587</t>
        </is>
      </c>
      <c r="C496" s="7" t="inlineStr">
        <is>
          <t xml:space="preserve">AHL3NVDRX7_1</t>
        </is>
      </c>
      <c r="D496" s="19" t="inlineStr">
        <is>
          <t xml:space="preserve">W0497_CDK12_E08</t>
        </is>
      </c>
      <c r="E496" s="2">
        <v>6392</v>
      </c>
      <c r="F496" s="20" t="inlineStr">
        <is>
          <t xml:space="preserve">+</t>
        </is>
      </c>
      <c r="G496" s="4">
        <v>2.101</v>
      </c>
      <c r="H496" s="2">
        <v>4363</v>
      </c>
      <c r="I496" s="9" t="inlineStr">
        <is>
          <t xml:space="preserve">+</t>
        </is>
      </c>
      <c r="J496" s="4">
        <v>1.968</v>
      </c>
    </row>
    <row r="497">
      <c r="A497" s="6" t="inlineStr">
        <is>
          <t xml:space="preserve">HRD-177-26S052587</t>
        </is>
      </c>
      <c r="B497" s="7" t="inlineStr">
        <is>
          <t xml:space="preserve">HRD-177-26S052587</t>
        </is>
      </c>
      <c r="C497" s="7" t="inlineStr">
        <is>
          <t xml:space="preserve">AHL3NVDRX7_1</t>
        </is>
      </c>
      <c r="D497" s="19" t="inlineStr">
        <is>
          <t xml:space="preserve">W0498_CDK12_E09</t>
        </is>
      </c>
      <c r="E497" s="2">
        <v>6906</v>
      </c>
      <c r="F497" s="20" t="inlineStr">
        <is>
          <t xml:space="preserve">+</t>
        </is>
      </c>
      <c r="G497" s="4">
        <v>2.27</v>
      </c>
      <c r="H497" s="2">
        <v>4905</v>
      </c>
      <c r="I497" s="9" t="inlineStr">
        <is>
          <t xml:space="preserve">+</t>
        </is>
      </c>
      <c r="J497" s="4">
        <v>2.213</v>
      </c>
    </row>
    <row r="498">
      <c r="A498" s="6" t="inlineStr">
        <is>
          <t xml:space="preserve">HRD-177-26S052587</t>
        </is>
      </c>
      <c r="B498" s="7" t="inlineStr">
        <is>
          <t xml:space="preserve">HRD-177-26S052587</t>
        </is>
      </c>
      <c r="C498" s="7" t="inlineStr">
        <is>
          <t xml:space="preserve">AHL3NVDRX7_1</t>
        </is>
      </c>
      <c r="D498" s="19" t="inlineStr">
        <is>
          <t xml:space="preserve">W0499_CDK12_E09</t>
        </is>
      </c>
      <c r="E498" s="2">
        <v>9128</v>
      </c>
      <c r="F498" s="20" t="inlineStr">
        <is>
          <t xml:space="preserve">+</t>
        </is>
      </c>
      <c r="G498" s="4">
        <v>3</v>
      </c>
      <c r="H498" s="2">
        <v>6118</v>
      </c>
      <c r="I498" s="9" t="inlineStr">
        <is>
          <t xml:space="preserve">+</t>
        </is>
      </c>
      <c r="J498" s="4">
        <v>2.76</v>
      </c>
    </row>
    <row r="499">
      <c r="A499" s="6" t="inlineStr">
        <is>
          <t xml:space="preserve">HRD-177-26S052587</t>
        </is>
      </c>
      <c r="B499" s="7" t="inlineStr">
        <is>
          <t xml:space="preserve">HRD-177-26S052587</t>
        </is>
      </c>
      <c r="C499" s="7" t="inlineStr">
        <is>
          <t xml:space="preserve">AHL3NVDRX7_1</t>
        </is>
      </c>
      <c r="D499" s="19" t="inlineStr">
        <is>
          <t xml:space="preserve">W0500_CDK12_E10</t>
        </is>
      </c>
      <c r="E499" s="2">
        <v>7681</v>
      </c>
      <c r="F499" s="20" t="inlineStr">
        <is>
          <t xml:space="preserve">+</t>
        </is>
      </c>
      <c r="G499" s="4">
        <v>2.524</v>
      </c>
      <c r="H499" s="2">
        <v>4940</v>
      </c>
      <c r="I499" s="9" t="inlineStr">
        <is>
          <t xml:space="preserve">+</t>
        </is>
      </c>
      <c r="J499" s="4">
        <v>2.229</v>
      </c>
    </row>
    <row r="500">
      <c r="A500" s="6" t="inlineStr">
        <is>
          <t xml:space="preserve">HRD-177-26S052587</t>
        </is>
      </c>
      <c r="B500" s="7" t="inlineStr">
        <is>
          <t xml:space="preserve">HRD-177-26S052587</t>
        </is>
      </c>
      <c r="C500" s="7" t="inlineStr">
        <is>
          <t xml:space="preserve">AHL3NVDRX7_1</t>
        </is>
      </c>
      <c r="D500" s="19" t="inlineStr">
        <is>
          <t xml:space="preserve">W0501_CDK12_E10</t>
        </is>
      </c>
      <c r="E500" s="2">
        <v>5557</v>
      </c>
      <c r="F500" s="20" t="inlineStr">
        <is>
          <t xml:space="preserve">+</t>
        </is>
      </c>
      <c r="G500" s="4">
        <v>1.826</v>
      </c>
      <c r="H500" s="2">
        <v>3792</v>
      </c>
      <c r="I500" s="9" t="inlineStr">
        <is>
          <t xml:space="preserve">+</t>
        </is>
      </c>
      <c r="J500" s="4">
        <v>1.711</v>
      </c>
    </row>
    <row r="501">
      <c r="A501" s="6" t="inlineStr">
        <is>
          <t xml:space="preserve">HRD-177-26S052587</t>
        </is>
      </c>
      <c r="B501" s="7" t="inlineStr">
        <is>
          <t xml:space="preserve">HRD-177-26S052587</t>
        </is>
      </c>
      <c r="C501" s="7" t="inlineStr">
        <is>
          <t xml:space="preserve">AHL3NVDRX7_1</t>
        </is>
      </c>
      <c r="D501" s="19" t="inlineStr">
        <is>
          <t xml:space="preserve">W0502_CDK12_E11</t>
        </is>
      </c>
      <c r="E501" s="2">
        <v>3674</v>
      </c>
      <c r="F501" s="20" t="inlineStr">
        <is>
          <t xml:space="preserve">+</t>
        </is>
      </c>
      <c r="G501" s="4">
        <v>1.207</v>
      </c>
      <c r="H501" s="2">
        <v>2568</v>
      </c>
      <c r="I501" s="9" t="inlineStr">
        <is>
          <t xml:space="preserve">+</t>
        </is>
      </c>
      <c r="J501" s="4">
        <v>1.159</v>
      </c>
    </row>
    <row r="502">
      <c r="A502" s="6" t="inlineStr">
        <is>
          <t xml:space="preserve">HRD-177-26S052587</t>
        </is>
      </c>
      <c r="B502" s="7" t="inlineStr">
        <is>
          <t xml:space="preserve">HRD-177-26S052587</t>
        </is>
      </c>
      <c r="C502" s="7" t="inlineStr">
        <is>
          <t xml:space="preserve">AHL3NVDRX7_1</t>
        </is>
      </c>
      <c r="D502" s="19" t="inlineStr">
        <is>
          <t xml:space="preserve">W0503_CDK12_E11</t>
        </is>
      </c>
      <c r="E502" s="2">
        <v>4354</v>
      </c>
      <c r="F502" s="20" t="inlineStr">
        <is>
          <t xml:space="preserve">+</t>
        </is>
      </c>
      <c r="G502" s="4">
        <v>1.431</v>
      </c>
      <c r="H502" s="2">
        <v>3016</v>
      </c>
      <c r="I502" s="9" t="inlineStr">
        <is>
          <t xml:space="preserve">+</t>
        </is>
      </c>
      <c r="J502" s="4">
        <v>1.361</v>
      </c>
    </row>
    <row r="503">
      <c r="A503" s="6" t="inlineStr">
        <is>
          <t xml:space="preserve">HRD-177-26S052587</t>
        </is>
      </c>
      <c r="B503" s="7" t="inlineStr">
        <is>
          <t xml:space="preserve">HRD-177-26S052587</t>
        </is>
      </c>
      <c r="C503" s="7" t="inlineStr">
        <is>
          <t xml:space="preserve">AHL3NVDRX7_1</t>
        </is>
      </c>
      <c r="D503" s="19" t="inlineStr">
        <is>
          <t xml:space="preserve">W0504_CDK12_E12</t>
        </is>
      </c>
      <c r="E503" s="2">
        <v>3375</v>
      </c>
      <c r="F503" s="20" t="inlineStr">
        <is>
          <t xml:space="preserve">+</t>
        </is>
      </c>
      <c r="G503" s="4">
        <v>1.109</v>
      </c>
      <c r="H503" s="2">
        <v>2468</v>
      </c>
      <c r="I503" s="9" t="inlineStr">
        <is>
          <t xml:space="preserve">+</t>
        </is>
      </c>
      <c r="J503" s="4">
        <v>1.113</v>
      </c>
    </row>
    <row r="504">
      <c r="A504" s="6" t="inlineStr">
        <is>
          <t xml:space="preserve">HRD-177-26S052587</t>
        </is>
      </c>
      <c r="B504" s="7" t="inlineStr">
        <is>
          <t xml:space="preserve">HRD-177-26S052587</t>
        </is>
      </c>
      <c r="C504" s="7" t="inlineStr">
        <is>
          <t xml:space="preserve">AHL3NVDRX7_1</t>
        </is>
      </c>
      <c r="D504" s="19" t="inlineStr">
        <is>
          <t xml:space="preserve">W0505_CDK12_E12</t>
        </is>
      </c>
      <c r="E504" s="2">
        <v>3043</v>
      </c>
      <c r="F504" s="20" t="inlineStr">
        <is>
          <t xml:space="preserve">+</t>
        </is>
      </c>
      <c r="G504" s="4">
        <v>1</v>
      </c>
      <c r="H504" s="2">
        <v>2276</v>
      </c>
      <c r="I504" s="9" t="inlineStr">
        <is>
          <t xml:space="preserve">+</t>
        </is>
      </c>
      <c r="J504" s="4">
        <v>1.027</v>
      </c>
    </row>
    <row r="505">
      <c r="A505" s="6" t="inlineStr">
        <is>
          <t xml:space="preserve">HRD-177-26S052587</t>
        </is>
      </c>
      <c r="B505" s="7" t="inlineStr">
        <is>
          <t xml:space="preserve">HRD-177-26S052587</t>
        </is>
      </c>
      <c r="C505" s="7" t="inlineStr">
        <is>
          <t xml:space="preserve">AHL3NVDRX7_1</t>
        </is>
      </c>
      <c r="D505" s="19" t="inlineStr">
        <is>
          <t xml:space="preserve">W0506_CDK12_E13</t>
        </is>
      </c>
      <c r="E505" s="2">
        <v>3674</v>
      </c>
      <c r="F505" s="20" t="inlineStr">
        <is>
          <t xml:space="preserve">+</t>
        </is>
      </c>
      <c r="G505" s="4">
        <v>1.207</v>
      </c>
      <c r="H505" s="2">
        <v>2658</v>
      </c>
      <c r="I505" s="9" t="inlineStr">
        <is>
          <t xml:space="preserve">+</t>
        </is>
      </c>
      <c r="J505" s="4">
        <v>1.199</v>
      </c>
    </row>
    <row r="506">
      <c r="A506" s="6" t="inlineStr">
        <is>
          <t xml:space="preserve">HRD-177-26S052587</t>
        </is>
      </c>
      <c r="B506" s="7" t="inlineStr">
        <is>
          <t xml:space="preserve">HRD-177-26S052587</t>
        </is>
      </c>
      <c r="C506" s="7" t="inlineStr">
        <is>
          <t xml:space="preserve">AHL3NVDRX7_1</t>
        </is>
      </c>
      <c r="D506" s="19" t="inlineStr">
        <is>
          <t xml:space="preserve">W0507_CDK12_E13</t>
        </is>
      </c>
      <c r="E506" s="2">
        <v>4111</v>
      </c>
      <c r="F506" s="20" t="inlineStr">
        <is>
          <t xml:space="preserve">+</t>
        </is>
      </c>
      <c r="G506" s="4">
        <v>1.351</v>
      </c>
      <c r="H506" s="2">
        <v>2826</v>
      </c>
      <c r="I506" s="9" t="inlineStr">
        <is>
          <t xml:space="preserve">+</t>
        </is>
      </c>
      <c r="J506" s="4">
        <v>1.275</v>
      </c>
    </row>
    <row r="507">
      <c r="A507" s="6" t="inlineStr">
        <is>
          <t xml:space="preserve">HRD-177-26S052587</t>
        </is>
      </c>
      <c r="B507" s="7" t="inlineStr">
        <is>
          <t xml:space="preserve">HRD-177-26S052587</t>
        </is>
      </c>
      <c r="C507" s="7" t="inlineStr">
        <is>
          <t xml:space="preserve">AHL3NVDRX7_1</t>
        </is>
      </c>
      <c r="D507" s="19" t="inlineStr">
        <is>
          <t xml:space="preserve">W0508_CDK12_E13</t>
        </is>
      </c>
      <c r="E507" s="2">
        <v>2599</v>
      </c>
      <c r="F507" s="20" t="inlineStr">
        <is>
          <t xml:space="preserve">+</t>
        </is>
      </c>
      <c r="G507" s="4">
        <v>0.854</v>
      </c>
      <c r="H507" s="2">
        <v>1979</v>
      </c>
      <c r="I507" s="9" t="inlineStr">
        <is>
          <t xml:space="preserve">+</t>
        </is>
      </c>
      <c r="J507" s="4">
        <v>0.893</v>
      </c>
    </row>
    <row r="508">
      <c r="A508" s="6" t="inlineStr">
        <is>
          <t xml:space="preserve">HRD-177-26S052587</t>
        </is>
      </c>
      <c r="B508" s="7" t="inlineStr">
        <is>
          <t xml:space="preserve">HRD-177-26S052587</t>
        </is>
      </c>
      <c r="C508" s="7" t="inlineStr">
        <is>
          <t xml:space="preserve">AHL3NVDRX7_1</t>
        </is>
      </c>
      <c r="D508" s="19" t="inlineStr">
        <is>
          <t xml:space="preserve">W0509_CDK12_E13</t>
        </is>
      </c>
      <c r="E508" s="2">
        <v>2957</v>
      </c>
      <c r="F508" s="20" t="inlineStr">
        <is>
          <t xml:space="preserve">+</t>
        </is>
      </c>
      <c r="G508" s="4">
        <v>0.972</v>
      </c>
      <c r="H508" s="2">
        <v>2180</v>
      </c>
      <c r="I508" s="9" t="inlineStr">
        <is>
          <t xml:space="preserve">+</t>
        </is>
      </c>
      <c r="J508" s="4">
        <v>0.983</v>
      </c>
    </row>
    <row r="509">
      <c r="A509" s="6" t="inlineStr">
        <is>
          <t xml:space="preserve">HRD-177-26S052587</t>
        </is>
      </c>
      <c r="B509" s="7" t="inlineStr">
        <is>
          <t xml:space="preserve">HRD-177-26S052587</t>
        </is>
      </c>
      <c r="C509" s="7" t="inlineStr">
        <is>
          <t xml:space="preserve">AHL3NVDRX7_1</t>
        </is>
      </c>
      <c r="D509" s="19" t="inlineStr">
        <is>
          <t xml:space="preserve">W0510_CDK12_E14</t>
        </is>
      </c>
      <c r="E509" s="2">
        <v>5723</v>
      </c>
      <c r="F509" s="20" t="inlineStr">
        <is>
          <t xml:space="preserve">+</t>
        </is>
      </c>
      <c r="G509" s="4">
        <v>1.881</v>
      </c>
      <c r="H509" s="2">
        <v>3955</v>
      </c>
      <c r="I509" s="9" t="inlineStr">
        <is>
          <t xml:space="preserve">+</t>
        </is>
      </c>
      <c r="J509" s="4">
        <v>1.784</v>
      </c>
    </row>
    <row r="510">
      <c r="A510" s="6" t="inlineStr">
        <is>
          <t xml:space="preserve">HRD-177-26S052587</t>
        </is>
      </c>
      <c r="B510" s="7" t="inlineStr">
        <is>
          <t xml:space="preserve">HRD-177-26S052587</t>
        </is>
      </c>
      <c r="C510" s="7" t="inlineStr">
        <is>
          <t xml:space="preserve">AHL3NVDRX7_1</t>
        </is>
      </c>
      <c r="D510" s="19" t="inlineStr">
        <is>
          <t xml:space="preserve">W0513_CDK12_E14</t>
        </is>
      </c>
      <c r="E510" s="2">
        <v>1875</v>
      </c>
      <c r="F510" s="20" t="inlineStr">
        <is>
          <t xml:space="preserve">+</t>
        </is>
      </c>
      <c r="G510" s="4">
        <v>0.616</v>
      </c>
      <c r="H510" s="2">
        <v>1394</v>
      </c>
      <c r="I510" s="9" t="inlineStr">
        <is>
          <t xml:space="preserve">+</t>
        </is>
      </c>
      <c r="J510" s="4">
        <v>0.629</v>
      </c>
    </row>
    <row r="511">
      <c r="A511" s="6" t="inlineStr">
        <is>
          <t xml:space="preserve">HRD-177-26S052587</t>
        </is>
      </c>
      <c r="B511" s="7" t="inlineStr">
        <is>
          <t xml:space="preserve">HRD-177-26S052587</t>
        </is>
      </c>
      <c r="C511" s="7" t="inlineStr">
        <is>
          <t xml:space="preserve">AHL3NVDRX7_1</t>
        </is>
      </c>
      <c r="D511" s="19" t="inlineStr">
        <is>
          <t xml:space="preserve">W0514_CDK12_E14</t>
        </is>
      </c>
      <c r="E511" s="2">
        <v>1614</v>
      </c>
      <c r="F511" s="20" t="inlineStr">
        <is>
          <t xml:space="preserve">+</t>
        </is>
      </c>
      <c r="G511" s="4">
        <v>0.53</v>
      </c>
      <c r="H511" s="2">
        <v>1209</v>
      </c>
      <c r="I511" s="9" t="inlineStr">
        <is>
          <t xml:space="preserve">+</t>
        </is>
      </c>
      <c r="J511" s="4">
        <v>0.545</v>
      </c>
    </row>
    <row r="512">
      <c r="A512" s="6" t="inlineStr">
        <is>
          <t xml:space="preserve">HRD-177-26S052587</t>
        </is>
      </c>
      <c r="B512" s="7" t="inlineStr">
        <is>
          <t xml:space="preserve">HRD-177-26S052587</t>
        </is>
      </c>
      <c r="C512" s="7" t="inlineStr">
        <is>
          <t xml:space="preserve">AHL3NVDRX7_1</t>
        </is>
      </c>
      <c r="D512" s="19" t="inlineStr">
        <is>
          <t xml:space="preserve">W0515_CDK12_E14</t>
        </is>
      </c>
      <c r="E512" s="2">
        <v>2171</v>
      </c>
      <c r="F512" s="20" t="inlineStr">
        <is>
          <t xml:space="preserve">+</t>
        </is>
      </c>
      <c r="G512" s="4">
        <v>0.713</v>
      </c>
      <c r="H512" s="2">
        <v>1658</v>
      </c>
      <c r="I512" s="9" t="inlineStr">
        <is>
          <t xml:space="preserve">+</t>
        </is>
      </c>
      <c r="J512" s="4">
        <v>0.748</v>
      </c>
    </row>
    <row r="513">
      <c r="A513" s="6" t="inlineStr">
        <is>
          <t xml:space="preserve">HRD-177-26S052587</t>
        </is>
      </c>
      <c r="B513" s="7" t="inlineStr">
        <is>
          <t xml:space="preserve">HRD-177-26S052587</t>
        </is>
      </c>
      <c r="C513" s="7" t="inlineStr">
        <is>
          <t xml:space="preserve">AHL3NVDRX7_1</t>
        </is>
      </c>
      <c r="D513" s="19" t="inlineStr">
        <is>
          <t xml:space="preserve">W0517_CHEK1_E02</t>
        </is>
      </c>
      <c r="E513" s="2">
        <v>3575</v>
      </c>
      <c r="F513" s="20" t="inlineStr">
        <is>
          <t xml:space="preserve">+</t>
        </is>
      </c>
      <c r="G513" s="4">
        <v>1.175</v>
      </c>
      <c r="H513" s="2">
        <v>2570</v>
      </c>
      <c r="I513" s="9" t="inlineStr">
        <is>
          <t xml:space="preserve">+</t>
        </is>
      </c>
      <c r="J513" s="4">
        <v>1.159</v>
      </c>
    </row>
    <row r="514">
      <c r="A514" s="6" t="inlineStr">
        <is>
          <t xml:space="preserve">HRD-177-26S052587</t>
        </is>
      </c>
      <c r="B514" s="7" t="inlineStr">
        <is>
          <t xml:space="preserve">HRD-177-26S052587</t>
        </is>
      </c>
      <c r="C514" s="7" t="inlineStr">
        <is>
          <t xml:space="preserve">AHL3NVDRX7_1</t>
        </is>
      </c>
      <c r="D514" s="19" t="inlineStr">
        <is>
          <t xml:space="preserve">W0518_CHEK1_E02</t>
        </is>
      </c>
      <c r="E514" s="2">
        <v>3438</v>
      </c>
      <c r="F514" s="20" t="inlineStr">
        <is>
          <t xml:space="preserve">+</t>
        </is>
      </c>
      <c r="G514" s="4">
        <v>1.13</v>
      </c>
      <c r="H514" s="2">
        <v>2460</v>
      </c>
      <c r="I514" s="9" t="inlineStr">
        <is>
          <t xml:space="preserve">+</t>
        </is>
      </c>
      <c r="J514" s="4">
        <v>1.11</v>
      </c>
    </row>
    <row r="515">
      <c r="A515" s="6" t="inlineStr">
        <is>
          <t xml:space="preserve">HRD-177-26S052587</t>
        </is>
      </c>
      <c r="B515" s="7" t="inlineStr">
        <is>
          <t xml:space="preserve">HRD-177-26S052587</t>
        </is>
      </c>
      <c r="C515" s="7" t="inlineStr">
        <is>
          <t xml:space="preserve">AHL3NVDRX7_1</t>
        </is>
      </c>
      <c r="D515" s="19" t="inlineStr">
        <is>
          <t xml:space="preserve">W0519_CHEK1_E03</t>
        </is>
      </c>
      <c r="E515" s="2">
        <v>3721</v>
      </c>
      <c r="F515" s="20" t="inlineStr">
        <is>
          <t xml:space="preserve">+</t>
        </is>
      </c>
      <c r="G515" s="4">
        <v>1.223</v>
      </c>
      <c r="H515" s="2">
        <v>2785</v>
      </c>
      <c r="I515" s="9" t="inlineStr">
        <is>
          <t xml:space="preserve">+</t>
        </is>
      </c>
      <c r="J515" s="4">
        <v>1.256</v>
      </c>
    </row>
    <row r="516">
      <c r="A516" s="6" t="inlineStr">
        <is>
          <t xml:space="preserve">HRD-177-26S052587</t>
        </is>
      </c>
      <c r="B516" s="7" t="inlineStr">
        <is>
          <t xml:space="preserve">HRD-177-26S052587</t>
        </is>
      </c>
      <c r="C516" s="7" t="inlineStr">
        <is>
          <t xml:space="preserve">AHL3NVDRX7_1</t>
        </is>
      </c>
      <c r="D516" s="19" t="inlineStr">
        <is>
          <t xml:space="preserve">W0520_CHEK1_E03</t>
        </is>
      </c>
      <c r="E516" s="2">
        <v>2872</v>
      </c>
      <c r="F516" s="20" t="inlineStr">
        <is>
          <t xml:space="preserve">+</t>
        </is>
      </c>
      <c r="G516" s="4">
        <v>0.944</v>
      </c>
      <c r="H516" s="2">
        <v>2195</v>
      </c>
      <c r="I516" s="9" t="inlineStr">
        <is>
          <t xml:space="preserve">+</t>
        </is>
      </c>
      <c r="J516" s="4">
        <v>0.99</v>
      </c>
    </row>
    <row r="517">
      <c r="A517" s="6" t="inlineStr">
        <is>
          <t xml:space="preserve">HRD-177-26S052587</t>
        </is>
      </c>
      <c r="B517" s="7" t="inlineStr">
        <is>
          <t xml:space="preserve">HRD-177-26S052587</t>
        </is>
      </c>
      <c r="C517" s="7" t="inlineStr">
        <is>
          <t xml:space="preserve">AHL3NVDRX7_1</t>
        </is>
      </c>
      <c r="D517" s="19" t="inlineStr">
        <is>
          <t xml:space="preserve">W0521_CHEK1_E03</t>
        </is>
      </c>
      <c r="E517" s="2">
        <v>2796</v>
      </c>
      <c r="F517" s="20" t="inlineStr">
        <is>
          <t xml:space="preserve">+</t>
        </is>
      </c>
      <c r="G517" s="4">
        <v>0.919</v>
      </c>
      <c r="H517" s="2">
        <v>2153</v>
      </c>
      <c r="I517" s="9" t="inlineStr">
        <is>
          <t xml:space="preserve">+</t>
        </is>
      </c>
      <c r="J517" s="4">
        <v>0.971</v>
      </c>
    </row>
    <row r="518">
      <c r="A518" s="6" t="inlineStr">
        <is>
          <t xml:space="preserve">HRD-177-26S052587</t>
        </is>
      </c>
      <c r="B518" s="7" t="inlineStr">
        <is>
          <t xml:space="preserve">HRD-177-26S052587</t>
        </is>
      </c>
      <c r="C518" s="7" t="inlineStr">
        <is>
          <t xml:space="preserve">AHL3NVDRX7_1</t>
        </is>
      </c>
      <c r="D518" s="19" t="inlineStr">
        <is>
          <t xml:space="preserve">W0522_CHEK1_E04-05</t>
        </is>
      </c>
      <c r="E518" s="2">
        <v>4846</v>
      </c>
      <c r="F518" s="20" t="inlineStr">
        <is>
          <t xml:space="preserve">+</t>
        </is>
      </c>
      <c r="G518" s="4">
        <v>1.593</v>
      </c>
      <c r="H518" s="2">
        <v>3527</v>
      </c>
      <c r="I518" s="9" t="inlineStr">
        <is>
          <t xml:space="preserve">+</t>
        </is>
      </c>
      <c r="J518" s="4">
        <v>1.591</v>
      </c>
    </row>
    <row r="519">
      <c r="A519" s="6" t="inlineStr">
        <is>
          <t xml:space="preserve">HRD-177-26S052587</t>
        </is>
      </c>
      <c r="B519" s="7" t="inlineStr">
        <is>
          <t xml:space="preserve">HRD-177-26S052587</t>
        </is>
      </c>
      <c r="C519" s="7" t="inlineStr">
        <is>
          <t xml:space="preserve">AHL3NVDRX7_1</t>
        </is>
      </c>
      <c r="D519" s="19" t="inlineStr">
        <is>
          <t xml:space="preserve">W0523_CHEK1_E04-05</t>
        </is>
      </c>
      <c r="E519" s="2">
        <v>2170</v>
      </c>
      <c r="F519" s="20" t="inlineStr">
        <is>
          <t xml:space="preserve">+</t>
        </is>
      </c>
      <c r="G519" s="4">
        <v>0.713</v>
      </c>
      <c r="H519" s="2">
        <v>1616</v>
      </c>
      <c r="I519" s="9" t="inlineStr">
        <is>
          <t xml:space="preserve">+</t>
        </is>
      </c>
      <c r="J519" s="4">
        <v>0.729</v>
      </c>
    </row>
    <row r="520">
      <c r="A520" s="6" t="inlineStr">
        <is>
          <t xml:space="preserve">HRD-177-26S052587</t>
        </is>
      </c>
      <c r="B520" s="7" t="inlineStr">
        <is>
          <t xml:space="preserve">HRD-177-26S052587</t>
        </is>
      </c>
      <c r="C520" s="7" t="inlineStr">
        <is>
          <t xml:space="preserve">AHL3NVDRX7_1</t>
        </is>
      </c>
      <c r="D520" s="19" t="inlineStr">
        <is>
          <t xml:space="preserve">W0524_CHEK1_E04-05</t>
        </is>
      </c>
      <c r="E520" s="2">
        <v>1232</v>
      </c>
      <c r="F520" s="20" t="inlineStr">
        <is>
          <t xml:space="preserve">+</t>
        </is>
      </c>
      <c r="G520" s="4">
        <v>0.405</v>
      </c>
      <c r="H520" s="2">
        <v>994</v>
      </c>
      <c r="I520" s="9" t="inlineStr">
        <is>
          <t xml:space="preserve">+</t>
        </is>
      </c>
      <c r="J520" s="4">
        <v>0.448</v>
      </c>
    </row>
    <row r="521">
      <c r="A521" s="6" t="inlineStr">
        <is>
          <t xml:space="preserve">HRD-177-26S052587</t>
        </is>
      </c>
      <c r="B521" s="7" t="inlineStr">
        <is>
          <t xml:space="preserve">HRD-177-26S052587</t>
        </is>
      </c>
      <c r="C521" s="7" t="inlineStr">
        <is>
          <t xml:space="preserve">AHL3NVDRX7_1</t>
        </is>
      </c>
      <c r="D521" s="19" t="inlineStr">
        <is>
          <t xml:space="preserve">W0525_CHEK1_E06</t>
        </is>
      </c>
      <c r="E521" s="2">
        <v>2299</v>
      </c>
      <c r="F521" s="20" t="inlineStr">
        <is>
          <t xml:space="preserve">+</t>
        </is>
      </c>
      <c r="G521" s="4">
        <v>0.756</v>
      </c>
      <c r="H521" s="2">
        <v>1780</v>
      </c>
      <c r="I521" s="9" t="inlineStr">
        <is>
          <t xml:space="preserve">+</t>
        </is>
      </c>
      <c r="J521" s="4">
        <v>0.803</v>
      </c>
    </row>
    <row r="522">
      <c r="A522" s="6" t="inlineStr">
        <is>
          <t xml:space="preserve">HRD-177-26S052587</t>
        </is>
      </c>
      <c r="B522" s="7" t="inlineStr">
        <is>
          <t xml:space="preserve">HRD-177-26S052587</t>
        </is>
      </c>
      <c r="C522" s="7" t="inlineStr">
        <is>
          <t xml:space="preserve">AHL3NVDRX7_1</t>
        </is>
      </c>
      <c r="D522" s="19" t="inlineStr">
        <is>
          <t xml:space="preserve">W0526_CHEK1_E06</t>
        </is>
      </c>
      <c r="E522" s="2">
        <v>3866</v>
      </c>
      <c r="F522" s="20" t="inlineStr">
        <is>
          <t xml:space="preserve">+</t>
        </is>
      </c>
      <c r="G522" s="4">
        <v>1.271</v>
      </c>
      <c r="H522" s="2">
        <v>2737</v>
      </c>
      <c r="I522" s="9" t="inlineStr">
        <is>
          <t xml:space="preserve">+</t>
        </is>
      </c>
      <c r="J522" s="4">
        <v>1.235</v>
      </c>
    </row>
    <row r="523">
      <c r="A523" s="6" t="inlineStr">
        <is>
          <t xml:space="preserve">HRD-177-26S052587</t>
        </is>
      </c>
      <c r="B523" s="7" t="inlineStr">
        <is>
          <t xml:space="preserve">HRD-177-26S052587</t>
        </is>
      </c>
      <c r="C523" s="7" t="inlineStr">
        <is>
          <t xml:space="preserve">AHL3NVDRX7_1</t>
        </is>
      </c>
      <c r="D523" s="19" t="inlineStr">
        <is>
          <t xml:space="preserve">W0527_CHEK1_E06</t>
        </is>
      </c>
      <c r="E523" s="2">
        <v>1398</v>
      </c>
      <c r="F523" s="20" t="inlineStr">
        <is>
          <t xml:space="preserve">+</t>
        </is>
      </c>
      <c r="G523" s="4">
        <v>0.459</v>
      </c>
      <c r="H523" s="2">
        <v>1100</v>
      </c>
      <c r="I523" s="9" t="inlineStr">
        <is>
          <t xml:space="preserve">+</t>
        </is>
      </c>
      <c r="J523" s="4">
        <v>0.496</v>
      </c>
    </row>
    <row r="524">
      <c r="A524" s="6" t="inlineStr">
        <is>
          <t xml:space="preserve">HRD-177-26S052587</t>
        </is>
      </c>
      <c r="B524" s="7" t="inlineStr">
        <is>
          <t xml:space="preserve">HRD-177-26S052587</t>
        </is>
      </c>
      <c r="C524" s="7" t="inlineStr">
        <is>
          <t xml:space="preserve">AHL3NVDRX7_1</t>
        </is>
      </c>
      <c r="D524" s="19" t="inlineStr">
        <is>
          <t xml:space="preserve">W0528_CHEK1_E07</t>
        </is>
      </c>
      <c r="E524" s="2">
        <v>1164</v>
      </c>
      <c r="F524" s="20" t="inlineStr">
        <is>
          <t xml:space="preserve">+</t>
        </is>
      </c>
      <c r="G524" s="4">
        <v>0.383</v>
      </c>
      <c r="H524" s="2">
        <v>951</v>
      </c>
      <c r="I524" s="9" t="inlineStr">
        <is>
          <t xml:space="preserve">+</t>
        </is>
      </c>
      <c r="J524" s="4">
        <v>0.429</v>
      </c>
    </row>
    <row r="525">
      <c r="A525" s="6" t="inlineStr">
        <is>
          <t xml:space="preserve">HRD-177-26S052587</t>
        </is>
      </c>
      <c r="B525" s="7" t="inlineStr">
        <is>
          <t xml:space="preserve">HRD-177-26S052587</t>
        </is>
      </c>
      <c r="C525" s="7" t="inlineStr">
        <is>
          <t xml:space="preserve">AHL3NVDRX7_1</t>
        </is>
      </c>
      <c r="D525" s="19" t="inlineStr">
        <is>
          <t xml:space="preserve">W0529_CHEK1_E07</t>
        </is>
      </c>
      <c r="E525" s="2">
        <v>3263</v>
      </c>
      <c r="F525" s="20" t="inlineStr">
        <is>
          <t xml:space="preserve">+</t>
        </is>
      </c>
      <c r="G525" s="4">
        <v>1.072</v>
      </c>
      <c r="H525" s="2">
        <v>2514</v>
      </c>
      <c r="I525" s="9" t="inlineStr">
        <is>
          <t xml:space="preserve">+</t>
        </is>
      </c>
      <c r="J525" s="4">
        <v>1.134</v>
      </c>
    </row>
    <row r="526">
      <c r="A526" s="6" t="inlineStr">
        <is>
          <t xml:space="preserve">HRD-177-26S052587</t>
        </is>
      </c>
      <c r="B526" s="7" t="inlineStr">
        <is>
          <t xml:space="preserve">HRD-177-26S052587</t>
        </is>
      </c>
      <c r="C526" s="7" t="inlineStr">
        <is>
          <t xml:space="preserve">AHL3NVDRX7_1</t>
        </is>
      </c>
      <c r="D526" s="19" t="inlineStr">
        <is>
          <t xml:space="preserve">W0530_CHEK1_E08</t>
        </is>
      </c>
      <c r="E526" s="2">
        <v>4307</v>
      </c>
      <c r="F526" s="20" t="inlineStr">
        <is>
          <t xml:space="preserve">+</t>
        </is>
      </c>
      <c r="G526" s="4">
        <v>1.415</v>
      </c>
      <c r="H526" s="2">
        <v>3219</v>
      </c>
      <c r="I526" s="9" t="inlineStr">
        <is>
          <t xml:space="preserve">+</t>
        </is>
      </c>
      <c r="J526" s="4">
        <v>1.452</v>
      </c>
    </row>
    <row r="527">
      <c r="A527" s="6" t="inlineStr">
        <is>
          <t xml:space="preserve">HRD-177-26S052587</t>
        </is>
      </c>
      <c r="B527" s="7" t="inlineStr">
        <is>
          <t xml:space="preserve">HRD-177-26S052587</t>
        </is>
      </c>
      <c r="C527" s="7" t="inlineStr">
        <is>
          <t xml:space="preserve">AHL3NVDRX7_1</t>
        </is>
      </c>
      <c r="D527" s="19" t="inlineStr">
        <is>
          <t xml:space="preserve">W0531_CHEK1_E08</t>
        </is>
      </c>
      <c r="E527" s="2">
        <v>4100</v>
      </c>
      <c r="F527" s="20" t="inlineStr">
        <is>
          <t xml:space="preserve">+</t>
        </is>
      </c>
      <c r="G527" s="4">
        <v>1.347</v>
      </c>
      <c r="H527" s="2">
        <v>3049</v>
      </c>
      <c r="I527" s="9" t="inlineStr">
        <is>
          <t xml:space="preserve">+</t>
        </is>
      </c>
      <c r="J527" s="4">
        <v>1.375</v>
      </c>
    </row>
    <row r="528">
      <c r="A528" s="6" t="inlineStr">
        <is>
          <t xml:space="preserve">HRD-177-26S052587</t>
        </is>
      </c>
      <c r="B528" s="7" t="inlineStr">
        <is>
          <t xml:space="preserve">HRD-177-26S052587</t>
        </is>
      </c>
      <c r="C528" s="7" t="inlineStr">
        <is>
          <t xml:space="preserve">AHL3NVDRX7_1</t>
        </is>
      </c>
      <c r="D528" s="19" t="inlineStr">
        <is>
          <t xml:space="preserve">W0532_CHEK1_E09</t>
        </is>
      </c>
      <c r="E528" s="2">
        <v>3529</v>
      </c>
      <c r="F528" s="20" t="inlineStr">
        <is>
          <t xml:space="preserve">+</t>
        </is>
      </c>
      <c r="G528" s="4">
        <v>1.16</v>
      </c>
      <c r="H528" s="2">
        <v>2567</v>
      </c>
      <c r="I528" s="9" t="inlineStr">
        <is>
          <t xml:space="preserve">+</t>
        </is>
      </c>
      <c r="J528" s="4">
        <v>1.158</v>
      </c>
    </row>
    <row r="529">
      <c r="A529" s="6" t="inlineStr">
        <is>
          <t xml:space="preserve">HRD-177-26S052587</t>
        </is>
      </c>
      <c r="B529" s="7" t="inlineStr">
        <is>
          <t xml:space="preserve">HRD-177-26S052587</t>
        </is>
      </c>
      <c r="C529" s="7" t="inlineStr">
        <is>
          <t xml:space="preserve">AHL3NVDRX7_1</t>
        </is>
      </c>
      <c r="D529" s="19" t="inlineStr">
        <is>
          <t xml:space="preserve">W0533_CHEK1_E09</t>
        </is>
      </c>
      <c r="E529" s="2">
        <v>5654</v>
      </c>
      <c r="F529" s="20" t="inlineStr">
        <is>
          <t xml:space="preserve">+</t>
        </is>
      </c>
      <c r="G529" s="4">
        <v>1.858</v>
      </c>
      <c r="H529" s="2">
        <v>3964</v>
      </c>
      <c r="I529" s="9" t="inlineStr">
        <is>
          <t xml:space="preserve">+</t>
        </is>
      </c>
      <c r="J529" s="4">
        <v>1.788</v>
      </c>
    </row>
    <row r="530">
      <c r="A530" s="6" t="inlineStr">
        <is>
          <t xml:space="preserve">HRD-177-26S052587</t>
        </is>
      </c>
      <c r="B530" s="7" t="inlineStr">
        <is>
          <t xml:space="preserve">HRD-177-26S052587</t>
        </is>
      </c>
      <c r="C530" s="7" t="inlineStr">
        <is>
          <t xml:space="preserve">AHL3NVDRX7_1</t>
        </is>
      </c>
      <c r="D530" s="19" t="inlineStr">
        <is>
          <t xml:space="preserve">W0534_CHEK1_E10</t>
        </is>
      </c>
      <c r="E530" s="2">
        <v>2438</v>
      </c>
      <c r="F530" s="20" t="inlineStr">
        <is>
          <t xml:space="preserve">+</t>
        </is>
      </c>
      <c r="G530" s="4">
        <v>0.801</v>
      </c>
      <c r="H530" s="2">
        <v>1876</v>
      </c>
      <c r="I530" s="9" t="inlineStr">
        <is>
          <t xml:space="preserve">+</t>
        </is>
      </c>
      <c r="J530" s="4">
        <v>0.846</v>
      </c>
    </row>
    <row r="531">
      <c r="A531" s="6" t="inlineStr">
        <is>
          <t xml:space="preserve">HRD-177-26S052587</t>
        </is>
      </c>
      <c r="B531" s="7" t="inlineStr">
        <is>
          <t xml:space="preserve">HRD-177-26S052587</t>
        </is>
      </c>
      <c r="C531" s="7" t="inlineStr">
        <is>
          <t xml:space="preserve">AHL3NVDRX7_1</t>
        </is>
      </c>
      <c r="D531" s="19" t="inlineStr">
        <is>
          <t xml:space="preserve">W0535_CHEK1_E10</t>
        </is>
      </c>
      <c r="E531" s="2">
        <v>2241</v>
      </c>
      <c r="F531" s="20" t="inlineStr">
        <is>
          <t xml:space="preserve">+</t>
        </is>
      </c>
      <c r="G531" s="4">
        <v>0.736</v>
      </c>
      <c r="H531" s="2">
        <v>1725</v>
      </c>
      <c r="I531" s="9" t="inlineStr">
        <is>
          <t xml:space="preserve">+</t>
        </is>
      </c>
      <c r="J531" s="4">
        <v>0.778</v>
      </c>
    </row>
    <row r="532">
      <c r="A532" s="6" t="inlineStr">
        <is>
          <t xml:space="preserve">HRD-177-26S052587</t>
        </is>
      </c>
      <c r="B532" s="7" t="inlineStr">
        <is>
          <t xml:space="preserve">HRD-177-26S052587</t>
        </is>
      </c>
      <c r="C532" s="7" t="inlineStr">
        <is>
          <t xml:space="preserve">AHL3NVDRX7_1</t>
        </is>
      </c>
      <c r="D532" s="19" t="inlineStr">
        <is>
          <t xml:space="preserve">W0536_CHEK1_E11</t>
        </is>
      </c>
      <c r="E532" s="2">
        <v>3845</v>
      </c>
      <c r="F532" s="20" t="inlineStr">
        <is>
          <t xml:space="preserve">+</t>
        </is>
      </c>
      <c r="G532" s="4">
        <v>1.264</v>
      </c>
      <c r="H532" s="2">
        <v>2791</v>
      </c>
      <c r="I532" s="9" t="inlineStr">
        <is>
          <t xml:space="preserve">+</t>
        </is>
      </c>
      <c r="J532" s="4">
        <v>1.259</v>
      </c>
    </row>
    <row r="533">
      <c r="A533" s="6" t="inlineStr">
        <is>
          <t xml:space="preserve">HRD-177-26S052587</t>
        </is>
      </c>
      <c r="B533" s="7" t="inlineStr">
        <is>
          <t xml:space="preserve">HRD-177-26S052587</t>
        </is>
      </c>
      <c r="C533" s="7" t="inlineStr">
        <is>
          <t xml:space="preserve">AHL3NVDRX7_1</t>
        </is>
      </c>
      <c r="D533" s="19" t="inlineStr">
        <is>
          <t xml:space="preserve">W0537_CHEK1_E11</t>
        </is>
      </c>
      <c r="E533" s="2">
        <v>1867</v>
      </c>
      <c r="F533" s="20" t="inlineStr">
        <is>
          <t xml:space="preserve">+</t>
        </is>
      </c>
      <c r="G533" s="4">
        <v>0.614</v>
      </c>
      <c r="H533" s="2">
        <v>1414</v>
      </c>
      <c r="I533" s="9" t="inlineStr">
        <is>
          <t xml:space="preserve">+</t>
        </is>
      </c>
      <c r="J533" s="4">
        <v>0.638</v>
      </c>
    </row>
    <row r="534">
      <c r="A534" s="6" t="inlineStr">
        <is>
          <t xml:space="preserve">HRD-177-26S052587</t>
        </is>
      </c>
      <c r="B534" s="7" t="inlineStr">
        <is>
          <t xml:space="preserve">HRD-177-26S052587</t>
        </is>
      </c>
      <c r="C534" s="7" t="inlineStr">
        <is>
          <t xml:space="preserve">AHL3NVDRX7_1</t>
        </is>
      </c>
      <c r="D534" s="19" t="inlineStr">
        <is>
          <t xml:space="preserve">W0538_CHEK1_E12</t>
        </is>
      </c>
      <c r="E534" s="2">
        <v>4082</v>
      </c>
      <c r="F534" s="20" t="inlineStr">
        <is>
          <t xml:space="preserve">+</t>
        </is>
      </c>
      <c r="G534" s="4">
        <v>1.342</v>
      </c>
      <c r="H534" s="2">
        <v>2928</v>
      </c>
      <c r="I534" s="9" t="inlineStr">
        <is>
          <t xml:space="preserve">+</t>
        </is>
      </c>
      <c r="J534" s="4">
        <v>1.321</v>
      </c>
    </row>
    <row r="535">
      <c r="A535" s="6" t="inlineStr">
        <is>
          <t xml:space="preserve">HRD-177-26S052587</t>
        </is>
      </c>
      <c r="B535" s="7" t="inlineStr">
        <is>
          <t xml:space="preserve">HRD-177-26S052587</t>
        </is>
      </c>
      <c r="C535" s="7" t="inlineStr">
        <is>
          <t xml:space="preserve">AHL3NVDRX7_1</t>
        </is>
      </c>
      <c r="D535" s="19" t="inlineStr">
        <is>
          <t xml:space="preserve">W0539_CHEK1_E12</t>
        </is>
      </c>
      <c r="E535" s="2">
        <v>1317</v>
      </c>
      <c r="F535" s="20" t="inlineStr">
        <is>
          <t xml:space="preserve">+</t>
        </is>
      </c>
      <c r="G535" s="4">
        <v>0.433</v>
      </c>
      <c r="H535" s="2">
        <v>1047</v>
      </c>
      <c r="I535" s="9" t="inlineStr">
        <is>
          <t xml:space="preserve">+</t>
        </is>
      </c>
      <c r="J535" s="4">
        <v>0.472</v>
      </c>
    </row>
    <row r="536">
      <c r="A536" s="6" t="inlineStr">
        <is>
          <t xml:space="preserve">HRD-177-26S052587</t>
        </is>
      </c>
      <c r="B536" s="7" t="inlineStr">
        <is>
          <t xml:space="preserve">HRD-177-26S052587</t>
        </is>
      </c>
      <c r="C536" s="7" t="inlineStr">
        <is>
          <t xml:space="preserve">AHL3NVDRX7_1</t>
        </is>
      </c>
      <c r="D536" s="19" t="inlineStr">
        <is>
          <t xml:space="preserve">W0540_CHEK1_E13</t>
        </is>
      </c>
      <c r="E536" s="2">
        <v>2938</v>
      </c>
      <c r="F536" s="20" t="inlineStr">
        <is>
          <t xml:space="preserve">+</t>
        </is>
      </c>
      <c r="G536" s="4">
        <v>0.966</v>
      </c>
      <c r="H536" s="2">
        <v>2221</v>
      </c>
      <c r="I536" s="9" t="inlineStr">
        <is>
          <t xml:space="preserve">+</t>
        </is>
      </c>
      <c r="J536" s="4">
        <v>1.002</v>
      </c>
    </row>
    <row r="537">
      <c r="A537" s="6" t="inlineStr">
        <is>
          <t xml:space="preserve">HRD-177-26S052587</t>
        </is>
      </c>
      <c r="B537" s="7" t="inlineStr">
        <is>
          <t xml:space="preserve">HRD-177-26S052587</t>
        </is>
      </c>
      <c r="C537" s="7" t="inlineStr">
        <is>
          <t xml:space="preserve">AHL3NVDRX7_1</t>
        </is>
      </c>
      <c r="D537" s="19" t="inlineStr">
        <is>
          <t xml:space="preserve">W0541_CHEK1_E13</t>
        </is>
      </c>
      <c r="E537" s="2">
        <v>5820</v>
      </c>
      <c r="F537" s="20" t="inlineStr">
        <is>
          <t xml:space="preserve">+</t>
        </is>
      </c>
      <c r="G537" s="4">
        <v>1.913</v>
      </c>
      <c r="H537" s="2">
        <v>4058</v>
      </c>
      <c r="I537" s="9" t="inlineStr">
        <is>
          <t xml:space="preserve">+</t>
        </is>
      </c>
      <c r="J537" s="4">
        <v>1.831</v>
      </c>
    </row>
    <row r="538">
      <c r="A538" s="6" t="inlineStr">
        <is>
          <t xml:space="preserve">HRD-177-26S052587</t>
        </is>
      </c>
      <c r="B538" s="7" t="inlineStr">
        <is>
          <t xml:space="preserve">HRD-177-26S052587</t>
        </is>
      </c>
      <c r="C538" s="7" t="inlineStr">
        <is>
          <t xml:space="preserve">AHL3NVDRX7_1</t>
        </is>
      </c>
      <c r="D538" s="19" t="inlineStr">
        <is>
          <t xml:space="preserve">W0542_CHEK2_E15</t>
        </is>
      </c>
      <c r="E538" s="2">
        <v>3556</v>
      </c>
      <c r="F538" s="20" t="inlineStr">
        <is>
          <t xml:space="preserve">+</t>
        </is>
      </c>
      <c r="G538" s="4">
        <v>1.169</v>
      </c>
      <c r="H538" s="2">
        <v>2404</v>
      </c>
      <c r="I538" s="9" t="inlineStr">
        <is>
          <t xml:space="preserve">+</t>
        </is>
      </c>
      <c r="J538" s="4">
        <v>1.085</v>
      </c>
    </row>
    <row r="539">
      <c r="A539" s="6" t="inlineStr">
        <is>
          <t xml:space="preserve">HRD-177-26S052587</t>
        </is>
      </c>
      <c r="B539" s="7" t="inlineStr">
        <is>
          <t xml:space="preserve">HRD-177-26S052587</t>
        </is>
      </c>
      <c r="C539" s="7" t="inlineStr">
        <is>
          <t xml:space="preserve">AHL3NVDRX7_1</t>
        </is>
      </c>
      <c r="D539" s="19" t="inlineStr">
        <is>
          <t xml:space="preserve">W0543_CHEK2_E15</t>
        </is>
      </c>
      <c r="E539" s="2">
        <v>2022</v>
      </c>
      <c r="F539" s="20" t="inlineStr">
        <is>
          <t xml:space="preserve">+</t>
        </is>
      </c>
      <c r="G539" s="4">
        <v>0.665</v>
      </c>
      <c r="H539" s="2">
        <v>1495</v>
      </c>
      <c r="I539" s="9" t="inlineStr">
        <is>
          <t xml:space="preserve">+</t>
        </is>
      </c>
      <c r="J539" s="4">
        <v>0.674</v>
      </c>
    </row>
    <row r="540">
      <c r="A540" s="6" t="inlineStr">
        <is>
          <t xml:space="preserve">HRD-177-26S052587</t>
        </is>
      </c>
      <c r="B540" s="7" t="inlineStr">
        <is>
          <t xml:space="preserve">HRD-177-26S052587</t>
        </is>
      </c>
      <c r="C540" s="7" t="inlineStr">
        <is>
          <t xml:space="preserve">AHL3NVDRX7_1</t>
        </is>
      </c>
      <c r="D540" s="19" t="inlineStr">
        <is>
          <t xml:space="preserve">W0544_CHEK2_E14</t>
        </is>
      </c>
      <c r="E540" s="2">
        <v>2998</v>
      </c>
      <c r="F540" s="20" t="inlineStr">
        <is>
          <t xml:space="preserve">+</t>
        </is>
      </c>
      <c r="G540" s="4">
        <v>0.985</v>
      </c>
      <c r="H540" s="2">
        <v>2202</v>
      </c>
      <c r="I540" s="9" t="inlineStr">
        <is>
          <t xml:space="preserve">+</t>
        </is>
      </c>
      <c r="J540" s="4">
        <v>0.993</v>
      </c>
    </row>
    <row r="541">
      <c r="A541" s="6" t="inlineStr">
        <is>
          <t xml:space="preserve">HRD-177-26S052587</t>
        </is>
      </c>
      <c r="B541" s="7" t="inlineStr">
        <is>
          <t xml:space="preserve">HRD-177-26S052587</t>
        </is>
      </c>
      <c r="C541" s="7" t="inlineStr">
        <is>
          <t xml:space="preserve">AHL3NVDRX7_1</t>
        </is>
      </c>
      <c r="D541" s="19" t="inlineStr">
        <is>
          <t xml:space="preserve">W0545_CHEK2_E14</t>
        </is>
      </c>
      <c r="E541" s="2">
        <v>2302</v>
      </c>
      <c r="F541" s="20" t="inlineStr">
        <is>
          <t xml:space="preserve">+</t>
        </is>
      </c>
      <c r="G541" s="4">
        <v>0.757</v>
      </c>
      <c r="H541" s="2">
        <v>1744</v>
      </c>
      <c r="I541" s="9" t="inlineStr">
        <is>
          <t xml:space="preserve">+</t>
        </is>
      </c>
      <c r="J541" s="4">
        <v>0.787</v>
      </c>
    </row>
    <row r="542">
      <c r="A542" s="6" t="inlineStr">
        <is>
          <t xml:space="preserve">HRD-177-26S052587</t>
        </is>
      </c>
      <c r="B542" s="7" t="inlineStr">
        <is>
          <t xml:space="preserve">HRD-177-26S052587</t>
        </is>
      </c>
      <c r="C542" s="7" t="inlineStr">
        <is>
          <t xml:space="preserve">AHL3NVDRX7_1</t>
        </is>
      </c>
      <c r="D542" s="19" t="inlineStr">
        <is>
          <t xml:space="preserve">W0546_CHEK2_E13</t>
        </is>
      </c>
      <c r="E542" s="2">
        <v>3443</v>
      </c>
      <c r="F542" s="20" t="inlineStr">
        <is>
          <t xml:space="preserve">+</t>
        </is>
      </c>
      <c r="G542" s="4">
        <v>1.132</v>
      </c>
      <c r="H542" s="2">
        <v>2397</v>
      </c>
      <c r="I542" s="9" t="inlineStr">
        <is>
          <t xml:space="preserve">+</t>
        </is>
      </c>
      <c r="J542" s="4">
        <v>1.081</v>
      </c>
    </row>
    <row r="543">
      <c r="A543" s="6" t="inlineStr">
        <is>
          <t xml:space="preserve">HRD-177-26S052587</t>
        </is>
      </c>
      <c r="B543" s="7" t="inlineStr">
        <is>
          <t xml:space="preserve">HRD-177-26S052587</t>
        </is>
      </c>
      <c r="C543" s="7" t="inlineStr">
        <is>
          <t xml:space="preserve">AHL3NVDRX7_1</t>
        </is>
      </c>
      <c r="D543" s="19" t="inlineStr">
        <is>
          <t xml:space="preserve">W0547_CHEK2_E13</t>
        </is>
      </c>
      <c r="E543" s="2">
        <v>2597</v>
      </c>
      <c r="F543" s="20" t="inlineStr">
        <is>
          <t xml:space="preserve">+</t>
        </is>
      </c>
      <c r="G543" s="4">
        <v>0.853</v>
      </c>
      <c r="H543" s="2">
        <v>1935</v>
      </c>
      <c r="I543" s="9" t="inlineStr">
        <is>
          <t xml:space="preserve">+</t>
        </is>
      </c>
      <c r="J543" s="4">
        <v>0.873</v>
      </c>
    </row>
    <row r="544">
      <c r="A544" s="6" t="inlineStr">
        <is>
          <t xml:space="preserve">HRD-177-26S052587</t>
        </is>
      </c>
      <c r="B544" s="7" t="inlineStr">
        <is>
          <t xml:space="preserve">HRD-177-26S052587</t>
        </is>
      </c>
      <c r="C544" s="7" t="inlineStr">
        <is>
          <t xml:space="preserve">AHL3NVDRX7_1</t>
        </is>
      </c>
      <c r="D544" s="19" t="inlineStr">
        <is>
          <t xml:space="preserve">W0548_CHEK2_E12</t>
        </is>
      </c>
      <c r="E544" s="2">
        <v>3364</v>
      </c>
      <c r="F544" s="20" t="inlineStr">
        <is>
          <t xml:space="preserve">+</t>
        </is>
      </c>
      <c r="G544" s="4">
        <v>1.106</v>
      </c>
      <c r="H544" s="2">
        <v>2429</v>
      </c>
      <c r="I544" s="9" t="inlineStr">
        <is>
          <t xml:space="preserve">+</t>
        </is>
      </c>
      <c r="J544" s="4">
        <v>1.096</v>
      </c>
    </row>
    <row r="545">
      <c r="A545" s="6" t="inlineStr">
        <is>
          <t xml:space="preserve">HRD-177-26S052587</t>
        </is>
      </c>
      <c r="B545" s="7" t="inlineStr">
        <is>
          <t xml:space="preserve">HRD-177-26S052587</t>
        </is>
      </c>
      <c r="C545" s="7" t="inlineStr">
        <is>
          <t xml:space="preserve">AHL3NVDRX7_1</t>
        </is>
      </c>
      <c r="D545" s="19" t="inlineStr">
        <is>
          <t xml:space="preserve">W0549_CHEK2_E12</t>
        </is>
      </c>
      <c r="E545" s="2">
        <v>2172</v>
      </c>
      <c r="F545" s="20" t="inlineStr">
        <is>
          <t xml:space="preserve">+</t>
        </is>
      </c>
      <c r="G545" s="4">
        <v>0.714</v>
      </c>
      <c r="H545" s="2">
        <v>1566</v>
      </c>
      <c r="I545" s="9" t="inlineStr">
        <is>
          <t xml:space="preserve">+</t>
        </is>
      </c>
      <c r="J545" s="4">
        <v>0.706</v>
      </c>
    </row>
    <row r="546">
      <c r="A546" s="6" t="inlineStr">
        <is>
          <t xml:space="preserve">HRD-177-26S052587</t>
        </is>
      </c>
      <c r="B546" s="7" t="inlineStr">
        <is>
          <t xml:space="preserve">HRD-177-26S052587</t>
        </is>
      </c>
      <c r="C546" s="7" t="inlineStr">
        <is>
          <t xml:space="preserve">AHL3NVDRX7_1</t>
        </is>
      </c>
      <c r="D546" s="19" t="inlineStr">
        <is>
          <t xml:space="preserve">W0550_CHEK2_E11</t>
        </is>
      </c>
      <c r="E546" s="2">
        <v>1916</v>
      </c>
      <c r="F546" s="20" t="inlineStr">
        <is>
          <t xml:space="preserve">+</t>
        </is>
      </c>
      <c r="G546" s="4">
        <v>0.63</v>
      </c>
      <c r="H546" s="2">
        <v>1468</v>
      </c>
      <c r="I546" s="9" t="inlineStr">
        <is>
          <t xml:space="preserve">+</t>
        </is>
      </c>
      <c r="J546" s="4">
        <v>0.662</v>
      </c>
    </row>
    <row r="547">
      <c r="A547" s="6" t="inlineStr">
        <is>
          <t xml:space="preserve">HRD-177-26S052587</t>
        </is>
      </c>
      <c r="B547" s="7" t="inlineStr">
        <is>
          <t xml:space="preserve">HRD-177-26S052587</t>
        </is>
      </c>
      <c r="C547" s="7" t="inlineStr">
        <is>
          <t xml:space="preserve">AHL3NVDRX7_1</t>
        </is>
      </c>
      <c r="D547" s="19" t="inlineStr">
        <is>
          <t xml:space="preserve">W0551_CHEK2_E11</t>
        </is>
      </c>
      <c r="E547" s="2">
        <v>2044</v>
      </c>
      <c r="F547" s="20" t="inlineStr">
        <is>
          <t xml:space="preserve">+</t>
        </is>
      </c>
      <c r="G547" s="4">
        <v>0.672</v>
      </c>
      <c r="H547" s="2">
        <v>1582</v>
      </c>
      <c r="I547" s="9" t="inlineStr">
        <is>
          <t xml:space="preserve">+</t>
        </is>
      </c>
      <c r="J547" s="4">
        <v>0.714</v>
      </c>
    </row>
    <row r="548">
      <c r="A548" s="6" t="inlineStr">
        <is>
          <t xml:space="preserve">HRD-177-26S052587</t>
        </is>
      </c>
      <c r="B548" s="7" t="inlineStr">
        <is>
          <t xml:space="preserve">HRD-177-26S052587</t>
        </is>
      </c>
      <c r="C548" s="7" t="inlineStr">
        <is>
          <t xml:space="preserve">AHL3NVDRX7_1</t>
        </is>
      </c>
      <c r="D548" s="19" t="inlineStr">
        <is>
          <t xml:space="preserve">W0552_CHEK2_E10</t>
        </is>
      </c>
      <c r="E548" s="2">
        <v>5842</v>
      </c>
      <c r="F548" s="20" t="inlineStr">
        <is>
          <t xml:space="preserve">+</t>
        </is>
      </c>
      <c r="G548" s="4">
        <v>1.92</v>
      </c>
      <c r="H548" s="2">
        <v>4064</v>
      </c>
      <c r="I548" s="9" t="inlineStr">
        <is>
          <t xml:space="preserve">+</t>
        </is>
      </c>
      <c r="J548" s="4">
        <v>1.833</v>
      </c>
    </row>
    <row r="549">
      <c r="A549" s="6" t="inlineStr">
        <is>
          <t xml:space="preserve">HRD-177-26S052587</t>
        </is>
      </c>
      <c r="B549" s="7" t="inlineStr">
        <is>
          <t xml:space="preserve">HRD-177-26S052587</t>
        </is>
      </c>
      <c r="C549" s="7" t="inlineStr">
        <is>
          <t xml:space="preserve">AHL3NVDRX7_1</t>
        </is>
      </c>
      <c r="D549" s="19" t="inlineStr">
        <is>
          <t xml:space="preserve">W0553_CHEK2_E10</t>
        </is>
      </c>
      <c r="E549" s="2">
        <v>5174</v>
      </c>
      <c r="F549" s="20" t="inlineStr">
        <is>
          <t xml:space="preserve">+</t>
        </is>
      </c>
      <c r="G549" s="4">
        <v>1.7</v>
      </c>
      <c r="H549" s="2">
        <v>3512</v>
      </c>
      <c r="I549" s="9" t="inlineStr">
        <is>
          <t xml:space="preserve">+</t>
        </is>
      </c>
      <c r="J549" s="4">
        <v>1.584</v>
      </c>
    </row>
    <row r="550">
      <c r="A550" s="6" t="inlineStr">
        <is>
          <t xml:space="preserve">HRD-177-26S052587</t>
        </is>
      </c>
      <c r="B550" s="7" t="inlineStr">
        <is>
          <t xml:space="preserve">HRD-177-26S052587</t>
        </is>
      </c>
      <c r="C550" s="7" t="inlineStr">
        <is>
          <t xml:space="preserve">AHL3NVDRX7_1</t>
        </is>
      </c>
      <c r="D550" s="19" t="inlineStr">
        <is>
          <t xml:space="preserve">W0554_CHEK2_E09</t>
        </is>
      </c>
      <c r="E550" s="2">
        <v>3514</v>
      </c>
      <c r="F550" s="20" t="inlineStr">
        <is>
          <t xml:space="preserve">+</t>
        </is>
      </c>
      <c r="G550" s="4">
        <v>1.155</v>
      </c>
      <c r="H550" s="2">
        <v>2568</v>
      </c>
      <c r="I550" s="9" t="inlineStr">
        <is>
          <t xml:space="preserve">+</t>
        </is>
      </c>
      <c r="J550" s="4">
        <v>1.159</v>
      </c>
    </row>
    <row r="551">
      <c r="A551" s="6" t="inlineStr">
        <is>
          <t xml:space="preserve">HRD-177-26S052587</t>
        </is>
      </c>
      <c r="B551" s="7" t="inlineStr">
        <is>
          <t xml:space="preserve">HRD-177-26S052587</t>
        </is>
      </c>
      <c r="C551" s="7" t="inlineStr">
        <is>
          <t xml:space="preserve">AHL3NVDRX7_1</t>
        </is>
      </c>
      <c r="D551" s="19" t="inlineStr">
        <is>
          <t xml:space="preserve">W0555_CHEK2_E09</t>
        </is>
      </c>
      <c r="E551" s="2">
        <v>3968</v>
      </c>
      <c r="F551" s="20" t="inlineStr">
        <is>
          <t xml:space="preserve">+</t>
        </is>
      </c>
      <c r="G551" s="4">
        <v>1.304</v>
      </c>
      <c r="H551" s="2">
        <v>2813</v>
      </c>
      <c r="I551" s="9" t="inlineStr">
        <is>
          <t xml:space="preserve">+</t>
        </is>
      </c>
      <c r="J551" s="4">
        <v>1.269</v>
      </c>
    </row>
    <row r="552">
      <c r="A552" s="6" t="inlineStr">
        <is>
          <t xml:space="preserve">HRD-177-26S052587</t>
        </is>
      </c>
      <c r="B552" s="7" t="inlineStr">
        <is>
          <t xml:space="preserve">HRD-177-26S052587</t>
        </is>
      </c>
      <c r="C552" s="7" t="inlineStr">
        <is>
          <t xml:space="preserve">AHL3NVDRX7_1</t>
        </is>
      </c>
      <c r="D552" s="19" t="inlineStr">
        <is>
          <t xml:space="preserve">W0556_CHEK2_E08</t>
        </is>
      </c>
      <c r="E552" s="2">
        <v>1152</v>
      </c>
      <c r="F552" s="20" t="inlineStr">
        <is>
          <t xml:space="preserve">+</t>
        </is>
      </c>
      <c r="G552" s="4">
        <v>0.379</v>
      </c>
      <c r="H552" s="2">
        <v>900</v>
      </c>
      <c r="I552" s="9" t="inlineStr">
        <is>
          <t xml:space="preserve">+</t>
        </is>
      </c>
      <c r="J552" s="4">
        <v>0.406</v>
      </c>
    </row>
    <row r="553">
      <c r="A553" s="6" t="inlineStr">
        <is>
          <t xml:space="preserve">HRD-177-26S052587</t>
        </is>
      </c>
      <c r="B553" s="7" t="inlineStr">
        <is>
          <t xml:space="preserve">HRD-177-26S052587</t>
        </is>
      </c>
      <c r="C553" s="7" t="inlineStr">
        <is>
          <t xml:space="preserve">AHL3NVDRX7_1</t>
        </is>
      </c>
      <c r="D553" s="19" t="inlineStr">
        <is>
          <t xml:space="preserve">W0557_CHEK2_E08</t>
        </is>
      </c>
      <c r="E553" s="2">
        <v>3291</v>
      </c>
      <c r="F553" s="20" t="inlineStr">
        <is>
          <t xml:space="preserve">+</t>
        </is>
      </c>
      <c r="G553" s="4">
        <v>1.082</v>
      </c>
      <c r="H553" s="2">
        <v>2413</v>
      </c>
      <c r="I553" s="9" t="inlineStr">
        <is>
          <t xml:space="preserve">+</t>
        </is>
      </c>
      <c r="J553" s="4">
        <v>1.089</v>
      </c>
    </row>
    <row r="554">
      <c r="A554" s="6" t="inlineStr">
        <is>
          <t xml:space="preserve">HRD-177-26S052587</t>
        </is>
      </c>
      <c r="B554" s="7" t="inlineStr">
        <is>
          <t xml:space="preserve">HRD-177-26S052587</t>
        </is>
      </c>
      <c r="C554" s="7" t="inlineStr">
        <is>
          <t xml:space="preserve">AHL3NVDRX7_1</t>
        </is>
      </c>
      <c r="D554" s="19" t="inlineStr">
        <is>
          <t xml:space="preserve">W0558_CHEK2_E07</t>
        </is>
      </c>
      <c r="E554" s="2">
        <v>3723</v>
      </c>
      <c r="F554" s="20" t="inlineStr">
        <is>
          <t xml:space="preserve">+</t>
        </is>
      </c>
      <c r="G554" s="4">
        <v>1.224</v>
      </c>
      <c r="H554" s="2">
        <v>2728</v>
      </c>
      <c r="I554" s="9" t="inlineStr">
        <is>
          <t xml:space="preserve">+</t>
        </is>
      </c>
      <c r="J554" s="4">
        <v>1.231</v>
      </c>
    </row>
    <row r="555">
      <c r="A555" s="6" t="inlineStr">
        <is>
          <t xml:space="preserve">HRD-177-26S052587</t>
        </is>
      </c>
      <c r="B555" s="7" t="inlineStr">
        <is>
          <t xml:space="preserve">HRD-177-26S052587</t>
        </is>
      </c>
      <c r="C555" s="7" t="inlineStr">
        <is>
          <t xml:space="preserve">AHL3NVDRX7_1</t>
        </is>
      </c>
      <c r="D555" s="19" t="inlineStr">
        <is>
          <t xml:space="preserve">W0559_CHEK2_E07</t>
        </is>
      </c>
      <c r="E555" s="2">
        <v>1660</v>
      </c>
      <c r="F555" s="20" t="inlineStr">
        <is>
          <t xml:space="preserve">+</t>
        </is>
      </c>
      <c r="G555" s="4">
        <v>0.546</v>
      </c>
      <c r="H555" s="2">
        <v>1267</v>
      </c>
      <c r="I555" s="9" t="inlineStr">
        <is>
          <t xml:space="preserve">+</t>
        </is>
      </c>
      <c r="J555" s="4">
        <v>0.572</v>
      </c>
    </row>
    <row r="556">
      <c r="A556" s="6" t="inlineStr">
        <is>
          <t xml:space="preserve">HRD-177-26S052587</t>
        </is>
      </c>
      <c r="B556" s="7" t="inlineStr">
        <is>
          <t xml:space="preserve">HRD-177-26S052587</t>
        </is>
      </c>
      <c r="C556" s="7" t="inlineStr">
        <is>
          <t xml:space="preserve">AHL3NVDRX7_1</t>
        </is>
      </c>
      <c r="D556" s="19" t="inlineStr">
        <is>
          <t xml:space="preserve">W0560_CHEK2_E06</t>
        </is>
      </c>
      <c r="E556" s="2">
        <v>4948</v>
      </c>
      <c r="F556" s="20" t="inlineStr">
        <is>
          <t xml:space="preserve">+</t>
        </is>
      </c>
      <c r="G556" s="4">
        <v>1.626</v>
      </c>
      <c r="H556" s="2">
        <v>3592</v>
      </c>
      <c r="I556" s="9" t="inlineStr">
        <is>
          <t xml:space="preserve">+</t>
        </is>
      </c>
      <c r="J556" s="4">
        <v>1.62</v>
      </c>
    </row>
    <row r="557">
      <c r="A557" s="6" t="inlineStr">
        <is>
          <t xml:space="preserve">HRD-177-26S052587</t>
        </is>
      </c>
      <c r="B557" s="7" t="inlineStr">
        <is>
          <t xml:space="preserve">HRD-177-26S052587</t>
        </is>
      </c>
      <c r="C557" s="7" t="inlineStr">
        <is>
          <t xml:space="preserve">AHL3NVDRX7_1</t>
        </is>
      </c>
      <c r="D557" s="19" t="inlineStr">
        <is>
          <t xml:space="preserve">W0561_CHEK2_E06</t>
        </is>
      </c>
      <c r="E557" s="2">
        <v>5303</v>
      </c>
      <c r="F557" s="20" t="inlineStr">
        <is>
          <t xml:space="preserve">+</t>
        </is>
      </c>
      <c r="G557" s="4">
        <v>1.743</v>
      </c>
      <c r="H557" s="2">
        <v>3813</v>
      </c>
      <c r="I557" s="9" t="inlineStr">
        <is>
          <t xml:space="preserve">+</t>
        </is>
      </c>
      <c r="J557" s="4">
        <v>1.72</v>
      </c>
    </row>
    <row r="558">
      <c r="A558" s="6" t="inlineStr">
        <is>
          <t xml:space="preserve">HRD-177-26S052587</t>
        </is>
      </c>
      <c r="B558" s="7" t="inlineStr">
        <is>
          <t xml:space="preserve">HRD-177-26S052587</t>
        </is>
      </c>
      <c r="C558" s="7" t="inlineStr">
        <is>
          <t xml:space="preserve">AHL3NVDRX7_1</t>
        </is>
      </c>
      <c r="D558" s="19" t="inlineStr">
        <is>
          <t xml:space="preserve">W0562_CHEK2_E05</t>
        </is>
      </c>
      <c r="E558" s="2">
        <v>2462</v>
      </c>
      <c r="F558" s="20" t="inlineStr">
        <is>
          <t xml:space="preserve">+</t>
        </is>
      </c>
      <c r="G558" s="4">
        <v>0.809</v>
      </c>
      <c r="H558" s="2">
        <v>1845</v>
      </c>
      <c r="I558" s="9" t="inlineStr">
        <is>
          <t xml:space="preserve">+</t>
        </is>
      </c>
      <c r="J558" s="4">
        <v>0.832</v>
      </c>
    </row>
    <row r="559">
      <c r="A559" s="6" t="inlineStr">
        <is>
          <t xml:space="preserve">HRD-177-26S052587</t>
        </is>
      </c>
      <c r="B559" s="7" t="inlineStr">
        <is>
          <t xml:space="preserve">HRD-177-26S052587</t>
        </is>
      </c>
      <c r="C559" s="7" t="inlineStr">
        <is>
          <t xml:space="preserve">AHL3NVDRX7_1</t>
        </is>
      </c>
      <c r="D559" s="19" t="inlineStr">
        <is>
          <t xml:space="preserve">W0563_CHEK2_E05</t>
        </is>
      </c>
      <c r="E559" s="2">
        <v>4397</v>
      </c>
      <c r="F559" s="20" t="inlineStr">
        <is>
          <t xml:space="preserve">+</t>
        </is>
      </c>
      <c r="G559" s="4">
        <v>1.445</v>
      </c>
      <c r="H559" s="2">
        <v>3220</v>
      </c>
      <c r="I559" s="9" t="inlineStr">
        <is>
          <t xml:space="preserve">+</t>
        </is>
      </c>
      <c r="J559" s="4">
        <v>1.453</v>
      </c>
    </row>
    <row r="560">
      <c r="A560" s="6" t="inlineStr">
        <is>
          <t xml:space="preserve">HRD-177-26S052587</t>
        </is>
      </c>
      <c r="B560" s="7" t="inlineStr">
        <is>
          <t xml:space="preserve">HRD-177-26S052587</t>
        </is>
      </c>
      <c r="C560" s="7" t="inlineStr">
        <is>
          <t xml:space="preserve">AHL3NVDRX7_1</t>
        </is>
      </c>
      <c r="D560" s="19" t="inlineStr">
        <is>
          <t xml:space="preserve">W0564_CHEK2_E04</t>
        </is>
      </c>
      <c r="E560" s="2">
        <v>1361</v>
      </c>
      <c r="F560" s="20" t="inlineStr">
        <is>
          <t xml:space="preserve">+</t>
        </is>
      </c>
      <c r="G560" s="4">
        <v>0.447</v>
      </c>
      <c r="H560" s="2">
        <v>1038</v>
      </c>
      <c r="I560" s="9" t="inlineStr">
        <is>
          <t xml:space="preserve">+</t>
        </is>
      </c>
      <c r="J560" s="4">
        <v>0.468</v>
      </c>
    </row>
    <row r="561">
      <c r="A561" s="6" t="inlineStr">
        <is>
          <t xml:space="preserve">HRD-177-26S052587</t>
        </is>
      </c>
      <c r="B561" s="7" t="inlineStr">
        <is>
          <t xml:space="preserve">HRD-177-26S052587</t>
        </is>
      </c>
      <c r="C561" s="7" t="inlineStr">
        <is>
          <t xml:space="preserve">AHL3NVDRX7_1</t>
        </is>
      </c>
      <c r="D561" s="19" t="inlineStr">
        <is>
          <t xml:space="preserve">W0567_CHEK2_E03</t>
        </is>
      </c>
      <c r="E561" s="2">
        <v>1790</v>
      </c>
      <c r="F561" s="20" t="inlineStr">
        <is>
          <t xml:space="preserve">+</t>
        </is>
      </c>
      <c r="G561" s="4">
        <v>0.588</v>
      </c>
      <c r="H561" s="2">
        <v>1360</v>
      </c>
      <c r="I561" s="9" t="inlineStr">
        <is>
          <t xml:space="preserve">+</t>
        </is>
      </c>
      <c r="J561" s="4">
        <v>0.614</v>
      </c>
    </row>
    <row r="562">
      <c r="A562" s="6" t="inlineStr">
        <is>
          <t xml:space="preserve">HRD-177-26S052587</t>
        </is>
      </c>
      <c r="B562" s="7" t="inlineStr">
        <is>
          <t xml:space="preserve">HRD-177-26S052587</t>
        </is>
      </c>
      <c r="C562" s="7" t="inlineStr">
        <is>
          <t xml:space="preserve">AHL3NVDRX7_1</t>
        </is>
      </c>
      <c r="D562" s="19" t="inlineStr">
        <is>
          <t xml:space="preserve">W0568_CHEK2_E02</t>
        </is>
      </c>
      <c r="E562" s="2">
        <v>1031</v>
      </c>
      <c r="F562" s="20" t="inlineStr">
        <is>
          <t xml:space="preserve">+</t>
        </is>
      </c>
      <c r="G562" s="4">
        <v>0.339</v>
      </c>
      <c r="H562" s="2">
        <v>782</v>
      </c>
      <c r="I562" s="9" t="inlineStr">
        <is>
          <t xml:space="preserve">+</t>
        </is>
      </c>
      <c r="J562" s="4">
        <v>0.353</v>
      </c>
    </row>
    <row r="563">
      <c r="A563" s="6" t="inlineStr">
        <is>
          <t xml:space="preserve">HRD-177-26S052587</t>
        </is>
      </c>
      <c r="B563" s="7" t="inlineStr">
        <is>
          <t xml:space="preserve">HRD-177-26S052587</t>
        </is>
      </c>
      <c r="C563" s="7" t="inlineStr">
        <is>
          <t xml:space="preserve">AHL3NVDRX7_1</t>
        </is>
      </c>
      <c r="D563" s="19" t="inlineStr">
        <is>
          <t xml:space="preserve">W0569_CHEK2_E02</t>
        </is>
      </c>
      <c r="E563" s="2">
        <v>2209</v>
      </c>
      <c r="F563" s="20" t="inlineStr">
        <is>
          <t xml:space="preserve">+</t>
        </is>
      </c>
      <c r="G563" s="4">
        <v>0.726</v>
      </c>
      <c r="H563" s="2">
        <v>1593</v>
      </c>
      <c r="I563" s="9" t="inlineStr">
        <is>
          <t xml:space="preserve">+</t>
        </is>
      </c>
      <c r="J563" s="4">
        <v>0.719</v>
      </c>
    </row>
    <row r="564">
      <c r="A564" s="6" t="inlineStr">
        <is>
          <t xml:space="preserve">HRD-177-26S052587</t>
        </is>
      </c>
      <c r="B564" s="7" t="inlineStr">
        <is>
          <t xml:space="preserve">HRD-177-26S052587</t>
        </is>
      </c>
      <c r="C564" s="7" t="inlineStr">
        <is>
          <t xml:space="preserve">AHL3NVDRX7_1</t>
        </is>
      </c>
      <c r="D564" s="19" t="inlineStr">
        <is>
          <t xml:space="preserve">W0570_CHEK2_E02</t>
        </is>
      </c>
      <c r="E564" s="2">
        <v>3312</v>
      </c>
      <c r="F564" s="20" t="inlineStr">
        <is>
          <t xml:space="preserve">+</t>
        </is>
      </c>
      <c r="G564" s="4">
        <v>1.088</v>
      </c>
      <c r="H564" s="2">
        <v>2294</v>
      </c>
      <c r="I564" s="9" t="inlineStr">
        <is>
          <t xml:space="preserve">+</t>
        </is>
      </c>
      <c r="J564" s="4">
        <v>1.035</v>
      </c>
    </row>
    <row r="565">
      <c r="A565" s="6" t="inlineStr">
        <is>
          <t xml:space="preserve">HRD-177-26S052587</t>
        </is>
      </c>
      <c r="B565" s="7" t="inlineStr">
        <is>
          <t xml:space="preserve">HRD-177-26S052587</t>
        </is>
      </c>
      <c r="C565" s="7" t="inlineStr">
        <is>
          <t xml:space="preserve">AHL3NVDRX7_1</t>
        </is>
      </c>
      <c r="D565" s="19" t="inlineStr">
        <is>
          <t xml:space="preserve">W0571_FANCA_E43-40</t>
        </is>
      </c>
      <c r="E565" s="2">
        <v>775</v>
      </c>
      <c r="F565" s="20" t="inlineStr">
        <is>
          <t xml:space="preserve">+</t>
        </is>
      </c>
      <c r="G565" s="4">
        <v>0.255</v>
      </c>
      <c r="H565" s="2">
        <v>598</v>
      </c>
      <c r="I565" s="9" t="inlineStr">
        <is>
          <t xml:space="preserve">+</t>
        </is>
      </c>
      <c r="J565" s="4">
        <v>0.27</v>
      </c>
    </row>
    <row r="566">
      <c r="A566" s="6" t="inlineStr">
        <is>
          <t xml:space="preserve">HRD-177-26S052587</t>
        </is>
      </c>
      <c r="B566" s="7" t="inlineStr">
        <is>
          <t xml:space="preserve">HRD-177-26S052587</t>
        </is>
      </c>
      <c r="C566" s="7" t="inlineStr">
        <is>
          <t xml:space="preserve">AHL3NVDRX7_1</t>
        </is>
      </c>
      <c r="D566" s="19" t="inlineStr">
        <is>
          <t xml:space="preserve">W0572_FANCA_E43-40</t>
        </is>
      </c>
      <c r="E566" s="2">
        <v>1041</v>
      </c>
      <c r="F566" s="20" t="inlineStr">
        <is>
          <t xml:space="preserve">+</t>
        </is>
      </c>
      <c r="G566" s="4">
        <v>0.342</v>
      </c>
      <c r="H566" s="2">
        <v>749</v>
      </c>
      <c r="I566" s="9" t="inlineStr">
        <is>
          <t xml:space="preserve">+</t>
        </is>
      </c>
      <c r="J566" s="4">
        <v>0.338</v>
      </c>
    </row>
    <row r="567">
      <c r="A567" s="6" t="inlineStr">
        <is>
          <t xml:space="preserve">HRD-177-26S052587</t>
        </is>
      </c>
      <c r="B567" s="7" t="inlineStr">
        <is>
          <t xml:space="preserve">HRD-177-26S052587</t>
        </is>
      </c>
      <c r="C567" s="7" t="inlineStr">
        <is>
          <t xml:space="preserve">AHL3NVDRX7_1</t>
        </is>
      </c>
      <c r="D567" s="19" t="inlineStr">
        <is>
          <t xml:space="preserve">W0573_FANCA_E43-40</t>
        </is>
      </c>
      <c r="E567" s="2">
        <v>524</v>
      </c>
      <c r="F567" s="20" t="inlineStr">
        <is>
          <t xml:space="preserve">-</t>
        </is>
      </c>
      <c r="G567" s="4">
        <v>0.172</v>
      </c>
      <c r="H567" s="2">
        <v>404</v>
      </c>
      <c r="I567" s="9" t="inlineStr">
        <is>
          <t xml:space="preserve">-</t>
        </is>
      </c>
      <c r="J567" s="4">
        <v>0.182</v>
      </c>
    </row>
    <row r="568">
      <c r="A568" s="6" t="inlineStr">
        <is>
          <t xml:space="preserve">HRD-177-26S052587</t>
        </is>
      </c>
      <c r="B568" s="7" t="inlineStr">
        <is>
          <t xml:space="preserve">HRD-177-26S052587</t>
        </is>
      </c>
      <c r="C568" s="7" t="inlineStr">
        <is>
          <t xml:space="preserve">AHL3NVDRX7_1</t>
        </is>
      </c>
      <c r="D568" s="19" t="inlineStr">
        <is>
          <t xml:space="preserve">W0574_FANCA_E43-40</t>
        </is>
      </c>
      <c r="E568" s="2">
        <v>850</v>
      </c>
      <c r="F568" s="20" t="inlineStr">
        <is>
          <t xml:space="preserve">+</t>
        </is>
      </c>
      <c r="G568" s="4">
        <v>0.279</v>
      </c>
      <c r="H568" s="2">
        <v>609</v>
      </c>
      <c r="I568" s="9" t="inlineStr">
        <is>
          <t xml:space="preserve">+</t>
        </is>
      </c>
      <c r="J568" s="4">
        <v>0.275</v>
      </c>
    </row>
    <row r="569">
      <c r="A569" s="6" t="inlineStr">
        <is>
          <t xml:space="preserve">HRD-177-26S052587</t>
        </is>
      </c>
      <c r="B569" s="7" t="inlineStr">
        <is>
          <t xml:space="preserve">HRD-177-26S052587</t>
        </is>
      </c>
      <c r="C569" s="7" t="inlineStr">
        <is>
          <t xml:space="preserve">AHL3NVDRX7_1</t>
        </is>
      </c>
      <c r="D569" s="19" t="inlineStr">
        <is>
          <t xml:space="preserve">W0575_FANCA_E43-40</t>
        </is>
      </c>
      <c r="E569" s="2">
        <v>1222</v>
      </c>
      <c r="F569" s="20" t="inlineStr">
        <is>
          <t xml:space="preserve">+</t>
        </is>
      </c>
      <c r="G569" s="4">
        <v>0.402</v>
      </c>
      <c r="H569" s="2">
        <v>905</v>
      </c>
      <c r="I569" s="9" t="inlineStr">
        <is>
          <t xml:space="preserve">+</t>
        </is>
      </c>
      <c r="J569" s="4">
        <v>0.408</v>
      </c>
    </row>
    <row r="570">
      <c r="A570" s="6" t="inlineStr">
        <is>
          <t xml:space="preserve">HRD-177-26S052587</t>
        </is>
      </c>
      <c r="B570" s="7" t="inlineStr">
        <is>
          <t xml:space="preserve">HRD-177-26S052587</t>
        </is>
      </c>
      <c r="C570" s="7" t="inlineStr">
        <is>
          <t xml:space="preserve">AHL3NVDRX7_1</t>
        </is>
      </c>
      <c r="D570" s="19" t="inlineStr">
        <is>
          <t xml:space="preserve">W0576_FANCA_E43-40</t>
        </is>
      </c>
      <c r="E570" s="2">
        <v>1261</v>
      </c>
      <c r="F570" s="20" t="inlineStr">
        <is>
          <t xml:space="preserve">+</t>
        </is>
      </c>
      <c r="G570" s="4">
        <v>0.414</v>
      </c>
      <c r="H570" s="2">
        <v>884</v>
      </c>
      <c r="I570" s="9" t="inlineStr">
        <is>
          <t xml:space="preserve">+</t>
        </is>
      </c>
      <c r="J570" s="4">
        <v>0.399</v>
      </c>
    </row>
    <row r="571">
      <c r="A571" s="6" t="inlineStr">
        <is>
          <t xml:space="preserve">HRD-177-26S052587</t>
        </is>
      </c>
      <c r="B571" s="7" t="inlineStr">
        <is>
          <t xml:space="preserve">HRD-177-26S052587</t>
        </is>
      </c>
      <c r="C571" s="7" t="inlineStr">
        <is>
          <t xml:space="preserve">AHL3NVDRX7_1</t>
        </is>
      </c>
      <c r="D571" s="19" t="inlineStr">
        <is>
          <t xml:space="preserve">W0577_FANCA_E43-40</t>
        </is>
      </c>
      <c r="E571" s="2">
        <v>1310</v>
      </c>
      <c r="F571" s="20" t="inlineStr">
        <is>
          <t xml:space="preserve">+</t>
        </is>
      </c>
      <c r="G571" s="4">
        <v>0.431</v>
      </c>
      <c r="H571" s="2">
        <v>947</v>
      </c>
      <c r="I571" s="9" t="inlineStr">
        <is>
          <t xml:space="preserve">+</t>
        </is>
      </c>
      <c r="J571" s="4">
        <v>0.427</v>
      </c>
    </row>
    <row r="572">
      <c r="A572" s="6" t="inlineStr">
        <is>
          <t xml:space="preserve">HRD-177-26S052587</t>
        </is>
      </c>
      <c r="B572" s="7" t="inlineStr">
        <is>
          <t xml:space="preserve">HRD-177-26S052587</t>
        </is>
      </c>
      <c r="C572" s="7" t="inlineStr">
        <is>
          <t xml:space="preserve">AHL3NVDRX7_1</t>
        </is>
      </c>
      <c r="D572" s="19" t="inlineStr">
        <is>
          <t xml:space="preserve">W0578_FANCA_E39</t>
        </is>
      </c>
      <c r="E572" s="2">
        <v>2157</v>
      </c>
      <c r="F572" s="20" t="inlineStr">
        <is>
          <t xml:space="preserve">+</t>
        </is>
      </c>
      <c r="G572" s="4">
        <v>0.709</v>
      </c>
      <c r="H572" s="2">
        <v>1541</v>
      </c>
      <c r="I572" s="9" t="inlineStr">
        <is>
          <t xml:space="preserve">+</t>
        </is>
      </c>
      <c r="J572" s="4">
        <v>0.695</v>
      </c>
    </row>
    <row r="573">
      <c r="A573" s="6" t="inlineStr">
        <is>
          <t xml:space="preserve">HRD-177-26S052587</t>
        </is>
      </c>
      <c r="B573" s="7" t="inlineStr">
        <is>
          <t xml:space="preserve">HRD-177-26S052587</t>
        </is>
      </c>
      <c r="C573" s="7" t="inlineStr">
        <is>
          <t xml:space="preserve">AHL3NVDRX7_1</t>
        </is>
      </c>
      <c r="D573" s="19" t="inlineStr">
        <is>
          <t xml:space="preserve">W0579_FANCA_E39</t>
        </is>
      </c>
      <c r="E573" s="2">
        <v>2660</v>
      </c>
      <c r="F573" s="20" t="inlineStr">
        <is>
          <t xml:space="preserve">+</t>
        </is>
      </c>
      <c r="G573" s="4">
        <v>0.874</v>
      </c>
      <c r="H573" s="2">
        <v>1818</v>
      </c>
      <c r="I573" s="9" t="inlineStr">
        <is>
          <t xml:space="preserve">+</t>
        </is>
      </c>
      <c r="J573" s="4">
        <v>0.82</v>
      </c>
    </row>
    <row r="574">
      <c r="A574" s="6" t="inlineStr">
        <is>
          <t xml:space="preserve">HRD-177-26S052587</t>
        </is>
      </c>
      <c r="B574" s="7" t="inlineStr">
        <is>
          <t xml:space="preserve">HRD-177-26S052587</t>
        </is>
      </c>
      <c r="C574" s="7" t="inlineStr">
        <is>
          <t xml:space="preserve">AHL3NVDRX7_1</t>
        </is>
      </c>
      <c r="D574" s="19" t="inlineStr">
        <is>
          <t xml:space="preserve">W0580_FANCA_E38</t>
        </is>
      </c>
      <c r="E574" s="2">
        <v>1914</v>
      </c>
      <c r="F574" s="20" t="inlineStr">
        <is>
          <t xml:space="preserve">+</t>
        </is>
      </c>
      <c r="G574" s="4">
        <v>0.629</v>
      </c>
      <c r="H574" s="2">
        <v>1383</v>
      </c>
      <c r="I574" s="9" t="inlineStr">
        <is>
          <t xml:space="preserve">+</t>
        </is>
      </c>
      <c r="J574" s="4">
        <v>0.624</v>
      </c>
    </row>
    <row r="575">
      <c r="A575" s="6" t="inlineStr">
        <is>
          <t xml:space="preserve">HRD-177-26S052587</t>
        </is>
      </c>
      <c r="B575" s="7" t="inlineStr">
        <is>
          <t xml:space="preserve">HRD-177-26S052587</t>
        </is>
      </c>
      <c r="C575" s="7" t="inlineStr">
        <is>
          <t xml:space="preserve">AHL3NVDRX7_1</t>
        </is>
      </c>
      <c r="D575" s="19" t="inlineStr">
        <is>
          <t xml:space="preserve">W0581_FANCA_E38</t>
        </is>
      </c>
      <c r="E575" s="2">
        <v>2720</v>
      </c>
      <c r="F575" s="20" t="inlineStr">
        <is>
          <t xml:space="preserve">+</t>
        </is>
      </c>
      <c r="G575" s="4">
        <v>0.894</v>
      </c>
      <c r="H575" s="2">
        <v>1937</v>
      </c>
      <c r="I575" s="9" t="inlineStr">
        <is>
          <t xml:space="preserve">+</t>
        </is>
      </c>
      <c r="J575" s="4">
        <v>0.874</v>
      </c>
    </row>
    <row r="576">
      <c r="A576" s="6" t="inlineStr">
        <is>
          <t xml:space="preserve">HRD-177-26S052587</t>
        </is>
      </c>
      <c r="B576" s="7" t="inlineStr">
        <is>
          <t xml:space="preserve">HRD-177-26S052587</t>
        </is>
      </c>
      <c r="C576" s="7" t="inlineStr">
        <is>
          <t xml:space="preserve">AHL3NVDRX7_1</t>
        </is>
      </c>
      <c r="D576" s="19" t="inlineStr">
        <is>
          <t xml:space="preserve">W0582_FANCA_E37</t>
        </is>
      </c>
      <c r="E576" s="2">
        <v>2439</v>
      </c>
      <c r="F576" s="20" t="inlineStr">
        <is>
          <t xml:space="preserve">+</t>
        </is>
      </c>
      <c r="G576" s="4">
        <v>0.802</v>
      </c>
      <c r="H576" s="2">
        <v>1752</v>
      </c>
      <c r="I576" s="9" t="inlineStr">
        <is>
          <t xml:space="preserve">+</t>
        </is>
      </c>
      <c r="J576" s="4">
        <v>0.79</v>
      </c>
    </row>
    <row r="577">
      <c r="A577" s="6" t="inlineStr">
        <is>
          <t xml:space="preserve">HRD-177-26S052587</t>
        </is>
      </c>
      <c r="B577" s="7" t="inlineStr">
        <is>
          <t xml:space="preserve">HRD-177-26S052587</t>
        </is>
      </c>
      <c r="C577" s="7" t="inlineStr">
        <is>
          <t xml:space="preserve">AHL3NVDRX7_1</t>
        </is>
      </c>
      <c r="D577" s="19" t="inlineStr">
        <is>
          <t xml:space="preserve">W0583_FANCA_E37</t>
        </is>
      </c>
      <c r="E577" s="2">
        <v>1837</v>
      </c>
      <c r="F577" s="20" t="inlineStr">
        <is>
          <t xml:space="preserve">+</t>
        </is>
      </c>
      <c r="G577" s="4">
        <v>0.604</v>
      </c>
      <c r="H577" s="2">
        <v>1340</v>
      </c>
      <c r="I577" s="9" t="inlineStr">
        <is>
          <t xml:space="preserve">+</t>
        </is>
      </c>
      <c r="J577" s="4">
        <v>0.605</v>
      </c>
    </row>
    <row r="578">
      <c r="A578" s="6" t="inlineStr">
        <is>
          <t xml:space="preserve">HRD-177-26S052587</t>
        </is>
      </c>
      <c r="B578" s="7" t="inlineStr">
        <is>
          <t xml:space="preserve">HRD-177-26S052587</t>
        </is>
      </c>
      <c r="C578" s="7" t="inlineStr">
        <is>
          <t xml:space="preserve">AHL3NVDRX7_1</t>
        </is>
      </c>
      <c r="D578" s="19" t="inlineStr">
        <is>
          <t xml:space="preserve">W0584_FANCA_E36</t>
        </is>
      </c>
      <c r="E578" s="2">
        <v>1516</v>
      </c>
      <c r="F578" s="20" t="inlineStr">
        <is>
          <t xml:space="preserve">+</t>
        </is>
      </c>
      <c r="G578" s="4">
        <v>0.498</v>
      </c>
      <c r="H578" s="2">
        <v>1034</v>
      </c>
      <c r="I578" s="9" t="inlineStr">
        <is>
          <t xml:space="preserve">+</t>
        </is>
      </c>
      <c r="J578" s="4">
        <v>0.466</v>
      </c>
    </row>
    <row r="579">
      <c r="A579" s="6" t="inlineStr">
        <is>
          <t xml:space="preserve">HRD-177-26S052587</t>
        </is>
      </c>
      <c r="B579" s="7" t="inlineStr">
        <is>
          <t xml:space="preserve">HRD-177-26S052587</t>
        </is>
      </c>
      <c r="C579" s="7" t="inlineStr">
        <is>
          <t xml:space="preserve">AHL3NVDRX7_1</t>
        </is>
      </c>
      <c r="D579" s="19" t="inlineStr">
        <is>
          <t xml:space="preserve">W0585_FANCA_E36</t>
        </is>
      </c>
      <c r="E579" s="2">
        <v>1564</v>
      </c>
      <c r="F579" s="20" t="inlineStr">
        <is>
          <t xml:space="preserve">+</t>
        </is>
      </c>
      <c r="G579" s="4">
        <v>0.514</v>
      </c>
      <c r="H579" s="2">
        <v>1096</v>
      </c>
      <c r="I579" s="9" t="inlineStr">
        <is>
          <t xml:space="preserve">+</t>
        </is>
      </c>
      <c r="J579" s="4">
        <v>0.494</v>
      </c>
    </row>
    <row r="580">
      <c r="A580" s="6" t="inlineStr">
        <is>
          <t xml:space="preserve">HRD-177-26S052587</t>
        </is>
      </c>
      <c r="B580" s="7" t="inlineStr">
        <is>
          <t xml:space="preserve">HRD-177-26S052587</t>
        </is>
      </c>
      <c r="C580" s="7" t="inlineStr">
        <is>
          <t xml:space="preserve">AHL3NVDRX7_1</t>
        </is>
      </c>
      <c r="D580" s="19" t="inlineStr">
        <is>
          <t xml:space="preserve">W0586_FANCA_E35-34</t>
        </is>
      </c>
      <c r="E580" s="2">
        <v>857</v>
      </c>
      <c r="F580" s="20" t="inlineStr">
        <is>
          <t xml:space="preserve">+</t>
        </is>
      </c>
      <c r="G580" s="4">
        <v>0.282</v>
      </c>
      <c r="H580" s="2">
        <v>637</v>
      </c>
      <c r="I580" s="9" t="inlineStr">
        <is>
          <t xml:space="preserve">+</t>
        </is>
      </c>
      <c r="J580" s="4">
        <v>0.287</v>
      </c>
    </row>
    <row r="581">
      <c r="A581" s="6" t="inlineStr">
        <is>
          <t xml:space="preserve">HRD-177-26S052587</t>
        </is>
      </c>
      <c r="B581" s="7" t="inlineStr">
        <is>
          <t xml:space="preserve">HRD-177-26S052587</t>
        </is>
      </c>
      <c r="C581" s="7" t="inlineStr">
        <is>
          <t xml:space="preserve">AHL3NVDRX7_1</t>
        </is>
      </c>
      <c r="D581" s="19" t="inlineStr">
        <is>
          <t xml:space="preserve">W0587_FANCA_E35-34</t>
        </is>
      </c>
      <c r="E581" s="2">
        <v>1537</v>
      </c>
      <c r="F581" s="20" t="inlineStr">
        <is>
          <t xml:space="preserve">+</t>
        </is>
      </c>
      <c r="G581" s="4">
        <v>0.505</v>
      </c>
      <c r="H581" s="2">
        <v>1097</v>
      </c>
      <c r="I581" s="9" t="inlineStr">
        <is>
          <t xml:space="preserve">+</t>
        </is>
      </c>
      <c r="J581" s="4">
        <v>0.495</v>
      </c>
    </row>
    <row r="582">
      <c r="A582" s="6" t="inlineStr">
        <is>
          <t xml:space="preserve">HRD-177-26S052587</t>
        </is>
      </c>
      <c r="B582" s="7" t="inlineStr">
        <is>
          <t xml:space="preserve">HRD-177-26S052587</t>
        </is>
      </c>
      <c r="C582" s="7" t="inlineStr">
        <is>
          <t xml:space="preserve">AHL3NVDRX7_1</t>
        </is>
      </c>
      <c r="D582" s="19" t="inlineStr">
        <is>
          <t xml:space="preserve">W0588_FANCA_E35-34</t>
        </is>
      </c>
      <c r="E582" s="2">
        <v>2235</v>
      </c>
      <c r="F582" s="20" t="inlineStr">
        <is>
          <t xml:space="preserve">+</t>
        </is>
      </c>
      <c r="G582" s="4">
        <v>0.735</v>
      </c>
      <c r="H582" s="2">
        <v>1573</v>
      </c>
      <c r="I582" s="9" t="inlineStr">
        <is>
          <t xml:space="preserve">+</t>
        </is>
      </c>
      <c r="J582" s="4">
        <v>0.71</v>
      </c>
    </row>
    <row r="583">
      <c r="A583" s="6" t="inlineStr">
        <is>
          <t xml:space="preserve">HRD-177-26S052587</t>
        </is>
      </c>
      <c r="B583" s="7" t="inlineStr">
        <is>
          <t xml:space="preserve">HRD-177-26S052587</t>
        </is>
      </c>
      <c r="C583" s="7" t="inlineStr">
        <is>
          <t xml:space="preserve">AHL3NVDRX7_1</t>
        </is>
      </c>
      <c r="D583" s="19" t="inlineStr">
        <is>
          <t xml:space="preserve">W0589_FANCA_E33</t>
        </is>
      </c>
      <c r="E583" s="2">
        <v>2339</v>
      </c>
      <c r="F583" s="20" t="inlineStr">
        <is>
          <t xml:space="preserve">+</t>
        </is>
      </c>
      <c r="G583" s="4">
        <v>0.769</v>
      </c>
      <c r="H583" s="2">
        <v>1460</v>
      </c>
      <c r="I583" s="9" t="inlineStr">
        <is>
          <t xml:space="preserve">+</t>
        </is>
      </c>
      <c r="J583" s="4">
        <v>0.659</v>
      </c>
    </row>
    <row r="584">
      <c r="A584" s="6" t="inlineStr">
        <is>
          <t xml:space="preserve">HRD-177-26S052587</t>
        </is>
      </c>
      <c r="B584" s="7" t="inlineStr">
        <is>
          <t xml:space="preserve">HRD-177-26S052587</t>
        </is>
      </c>
      <c r="C584" s="7" t="inlineStr">
        <is>
          <t xml:space="preserve">AHL3NVDRX7_1</t>
        </is>
      </c>
      <c r="D584" s="19" t="inlineStr">
        <is>
          <t xml:space="preserve">W0590_FANCA_E33</t>
        </is>
      </c>
      <c r="E584" s="2">
        <v>2008</v>
      </c>
      <c r="F584" s="20" t="inlineStr">
        <is>
          <t xml:space="preserve">+</t>
        </is>
      </c>
      <c r="G584" s="4">
        <v>0.66</v>
      </c>
      <c r="H584" s="2">
        <v>1351</v>
      </c>
      <c r="I584" s="9" t="inlineStr">
        <is>
          <t xml:space="preserve">+</t>
        </is>
      </c>
      <c r="J584" s="4">
        <v>0.609</v>
      </c>
    </row>
    <row r="585">
      <c r="A585" s="6" t="inlineStr">
        <is>
          <t xml:space="preserve">HRD-177-26S052587</t>
        </is>
      </c>
      <c r="B585" s="7" t="inlineStr">
        <is>
          <t xml:space="preserve">HRD-177-26S052587</t>
        </is>
      </c>
      <c r="C585" s="7" t="inlineStr">
        <is>
          <t xml:space="preserve">AHL3NVDRX7_1</t>
        </is>
      </c>
      <c r="D585" s="19" t="inlineStr">
        <is>
          <t xml:space="preserve">W0591_FANCA_E32</t>
        </is>
      </c>
      <c r="E585" s="2">
        <v>1481</v>
      </c>
      <c r="F585" s="20" t="inlineStr">
        <is>
          <t xml:space="preserve">+</t>
        </is>
      </c>
      <c r="G585" s="4">
        <v>0.487</v>
      </c>
      <c r="H585" s="2">
        <v>1068</v>
      </c>
      <c r="I585" s="9" t="inlineStr">
        <is>
          <t xml:space="preserve">+</t>
        </is>
      </c>
      <c r="J585" s="4">
        <v>0.482</v>
      </c>
    </row>
    <row r="586">
      <c r="A586" s="6" t="inlineStr">
        <is>
          <t xml:space="preserve">HRD-177-26S052587</t>
        </is>
      </c>
      <c r="B586" s="7" t="inlineStr">
        <is>
          <t xml:space="preserve">HRD-177-26S052587</t>
        </is>
      </c>
      <c r="C586" s="7" t="inlineStr">
        <is>
          <t xml:space="preserve">AHL3NVDRX7_1</t>
        </is>
      </c>
      <c r="D586" s="19" t="inlineStr">
        <is>
          <t xml:space="preserve">W0592_FANCA_E32</t>
        </is>
      </c>
      <c r="E586" s="2">
        <v>1175</v>
      </c>
      <c r="F586" s="20" t="inlineStr">
        <is>
          <t xml:space="preserve">+</t>
        </is>
      </c>
      <c r="G586" s="4">
        <v>0.386</v>
      </c>
      <c r="H586" s="2">
        <v>848</v>
      </c>
      <c r="I586" s="9" t="inlineStr">
        <is>
          <t xml:space="preserve">+</t>
        </is>
      </c>
      <c r="J586" s="4">
        <v>0.383</v>
      </c>
    </row>
    <row r="587">
      <c r="A587" s="6" t="inlineStr">
        <is>
          <t xml:space="preserve">HRD-177-26S052587</t>
        </is>
      </c>
      <c r="B587" s="7" t="inlineStr">
        <is>
          <t xml:space="preserve">HRD-177-26S052587</t>
        </is>
      </c>
      <c r="C587" s="7" t="inlineStr">
        <is>
          <t xml:space="preserve">AHL3NVDRX7_1</t>
        </is>
      </c>
      <c r="D587" s="19" t="inlineStr">
        <is>
          <t xml:space="preserve">W0593_FANCA_E31</t>
        </is>
      </c>
      <c r="E587" s="2">
        <v>2347</v>
      </c>
      <c r="F587" s="20" t="inlineStr">
        <is>
          <t xml:space="preserve">+</t>
        </is>
      </c>
      <c r="G587" s="4">
        <v>0.771</v>
      </c>
      <c r="H587" s="2">
        <v>1675</v>
      </c>
      <c r="I587" s="9" t="inlineStr">
        <is>
          <t xml:space="preserve">+</t>
        </is>
      </c>
      <c r="J587" s="4">
        <v>0.756</v>
      </c>
    </row>
    <row r="588">
      <c r="A588" s="6" t="inlineStr">
        <is>
          <t xml:space="preserve">HRD-177-26S052587</t>
        </is>
      </c>
      <c r="B588" s="7" t="inlineStr">
        <is>
          <t xml:space="preserve">HRD-177-26S052587</t>
        </is>
      </c>
      <c r="C588" s="7" t="inlineStr">
        <is>
          <t xml:space="preserve">AHL3NVDRX7_1</t>
        </is>
      </c>
      <c r="D588" s="19" t="inlineStr">
        <is>
          <t xml:space="preserve">W0594_FANCA_E31</t>
        </is>
      </c>
      <c r="E588" s="2">
        <v>2288</v>
      </c>
      <c r="F588" s="20" t="inlineStr">
        <is>
          <t xml:space="preserve">+</t>
        </is>
      </c>
      <c r="G588" s="4">
        <v>0.752</v>
      </c>
      <c r="H588" s="2">
        <v>1678</v>
      </c>
      <c r="I588" s="9" t="inlineStr">
        <is>
          <t xml:space="preserve">+</t>
        </is>
      </c>
      <c r="J588" s="4">
        <v>0.757</v>
      </c>
    </row>
    <row r="589">
      <c r="A589" s="6" t="inlineStr">
        <is>
          <t xml:space="preserve">HRD-177-26S052587</t>
        </is>
      </c>
      <c r="B589" s="7" t="inlineStr">
        <is>
          <t xml:space="preserve">HRD-177-26S052587</t>
        </is>
      </c>
      <c r="C589" s="7" t="inlineStr">
        <is>
          <t xml:space="preserve">AHL3NVDRX7_1</t>
        </is>
      </c>
      <c r="D589" s="19" t="inlineStr">
        <is>
          <t xml:space="preserve">W0595_FANCA_E30</t>
        </is>
      </c>
      <c r="E589" s="2">
        <v>3202</v>
      </c>
      <c r="F589" s="20" t="inlineStr">
        <is>
          <t xml:space="preserve">+</t>
        </is>
      </c>
      <c r="G589" s="4">
        <v>1.052</v>
      </c>
      <c r="H589" s="2">
        <v>2190</v>
      </c>
      <c r="I589" s="9" t="inlineStr">
        <is>
          <t xml:space="preserve">+</t>
        </is>
      </c>
      <c r="J589" s="4">
        <v>0.988</v>
      </c>
    </row>
    <row r="590">
      <c r="A590" s="6" t="inlineStr">
        <is>
          <t xml:space="preserve">HRD-177-26S052587</t>
        </is>
      </c>
      <c r="B590" s="7" t="inlineStr">
        <is>
          <t xml:space="preserve">HRD-177-26S052587</t>
        </is>
      </c>
      <c r="C590" s="7" t="inlineStr">
        <is>
          <t xml:space="preserve">AHL3NVDRX7_1</t>
        </is>
      </c>
      <c r="D590" s="19" t="inlineStr">
        <is>
          <t xml:space="preserve">W0596_FANCA_E30</t>
        </is>
      </c>
      <c r="E590" s="2">
        <v>2101</v>
      </c>
      <c r="F590" s="20" t="inlineStr">
        <is>
          <t xml:space="preserve">+</t>
        </is>
      </c>
      <c r="G590" s="4">
        <v>0.69</v>
      </c>
      <c r="H590" s="2">
        <v>1478</v>
      </c>
      <c r="I590" s="9" t="inlineStr">
        <is>
          <t xml:space="preserve">+</t>
        </is>
      </c>
      <c r="J590" s="4">
        <v>0.667</v>
      </c>
    </row>
    <row r="591">
      <c r="A591" s="6" t="inlineStr">
        <is>
          <t xml:space="preserve">HRD-177-26S052587</t>
        </is>
      </c>
      <c r="B591" s="7" t="inlineStr">
        <is>
          <t xml:space="preserve">HRD-177-26S052587</t>
        </is>
      </c>
      <c r="C591" s="7" t="inlineStr">
        <is>
          <t xml:space="preserve">AHL3NVDRX7_1</t>
        </is>
      </c>
      <c r="D591" s="19" t="inlineStr">
        <is>
          <t xml:space="preserve">W0597_FANCA_E29</t>
        </is>
      </c>
      <c r="E591" s="2">
        <v>1297</v>
      </c>
      <c r="F591" s="20" t="inlineStr">
        <is>
          <t xml:space="preserve">+</t>
        </is>
      </c>
      <c r="G591" s="4">
        <v>0.426</v>
      </c>
      <c r="H591" s="2">
        <v>950</v>
      </c>
      <c r="I591" s="9" t="inlineStr">
        <is>
          <t xml:space="preserve">+</t>
        </is>
      </c>
      <c r="J591" s="4">
        <v>0.429</v>
      </c>
    </row>
    <row r="592">
      <c r="A592" s="6" t="inlineStr">
        <is>
          <t xml:space="preserve">HRD-177-26S052587</t>
        </is>
      </c>
      <c r="B592" s="7" t="inlineStr">
        <is>
          <t xml:space="preserve">HRD-177-26S052587</t>
        </is>
      </c>
      <c r="C592" s="7" t="inlineStr">
        <is>
          <t xml:space="preserve">AHL3NVDRX7_1</t>
        </is>
      </c>
      <c r="D592" s="19" t="inlineStr">
        <is>
          <t xml:space="preserve">W0598_FANCA_E29</t>
        </is>
      </c>
      <c r="E592" s="2">
        <v>2708</v>
      </c>
      <c r="F592" s="20" t="inlineStr">
        <is>
          <t xml:space="preserve">+</t>
        </is>
      </c>
      <c r="G592" s="4">
        <v>0.89</v>
      </c>
      <c r="H592" s="2">
        <v>1860</v>
      </c>
      <c r="I592" s="9" t="inlineStr">
        <is>
          <t xml:space="preserve">+</t>
        </is>
      </c>
      <c r="J592" s="4">
        <v>0.839</v>
      </c>
    </row>
    <row r="593">
      <c r="A593" s="6" t="inlineStr">
        <is>
          <t xml:space="preserve">HRD-177-26S052587</t>
        </is>
      </c>
      <c r="B593" s="7" t="inlineStr">
        <is>
          <t xml:space="preserve">HRD-177-26S052587</t>
        </is>
      </c>
      <c r="C593" s="7" t="inlineStr">
        <is>
          <t xml:space="preserve">AHL3NVDRX7_1</t>
        </is>
      </c>
      <c r="D593" s="19" t="inlineStr">
        <is>
          <t xml:space="preserve">W0599_FANCA_E28</t>
        </is>
      </c>
      <c r="E593" s="2">
        <v>3068</v>
      </c>
      <c r="F593" s="20" t="inlineStr">
        <is>
          <t xml:space="preserve">+</t>
        </is>
      </c>
      <c r="G593" s="4">
        <v>1.008</v>
      </c>
      <c r="H593" s="2">
        <v>1999</v>
      </c>
      <c r="I593" s="9" t="inlineStr">
        <is>
          <t xml:space="preserve">+</t>
        </is>
      </c>
      <c r="J593" s="4">
        <v>0.902</v>
      </c>
    </row>
    <row r="594">
      <c r="A594" s="6" t="inlineStr">
        <is>
          <t xml:space="preserve">HRD-177-26S052587</t>
        </is>
      </c>
      <c r="B594" s="7" t="inlineStr">
        <is>
          <t xml:space="preserve">HRD-177-26S052587</t>
        </is>
      </c>
      <c r="C594" s="7" t="inlineStr">
        <is>
          <t xml:space="preserve">AHL3NVDRX7_1</t>
        </is>
      </c>
      <c r="D594" s="19" t="inlineStr">
        <is>
          <t xml:space="preserve">W0600_FANCA_E28</t>
        </is>
      </c>
      <c r="E594" s="2">
        <v>1049</v>
      </c>
      <c r="F594" s="20" t="inlineStr">
        <is>
          <t xml:space="preserve">+</t>
        </is>
      </c>
      <c r="G594" s="4">
        <v>0.345</v>
      </c>
      <c r="H594" s="2">
        <v>813</v>
      </c>
      <c r="I594" s="9" t="inlineStr">
        <is>
          <t xml:space="preserve">+</t>
        </is>
      </c>
      <c r="J594" s="4">
        <v>0.367</v>
      </c>
    </row>
    <row r="595">
      <c r="A595" s="6" t="inlineStr">
        <is>
          <t xml:space="preserve">HRD-177-26S052587</t>
        </is>
      </c>
      <c r="B595" s="7" t="inlineStr">
        <is>
          <t xml:space="preserve">HRD-177-26S052587</t>
        </is>
      </c>
      <c r="C595" s="7" t="inlineStr">
        <is>
          <t xml:space="preserve">AHL3NVDRX7_1</t>
        </is>
      </c>
      <c r="D595" s="19" t="inlineStr">
        <is>
          <t xml:space="preserve">W0601_FANCA_E27</t>
        </is>
      </c>
      <c r="E595" s="2">
        <v>3299</v>
      </c>
      <c r="F595" s="20" t="inlineStr">
        <is>
          <t xml:space="preserve">+</t>
        </is>
      </c>
      <c r="G595" s="4">
        <v>1.084</v>
      </c>
      <c r="H595" s="2">
        <v>2386</v>
      </c>
      <c r="I595" s="9" t="inlineStr">
        <is>
          <t xml:space="preserve">+</t>
        </is>
      </c>
      <c r="J595" s="4">
        <v>1.076</v>
      </c>
    </row>
    <row r="596">
      <c r="A596" s="6" t="inlineStr">
        <is>
          <t xml:space="preserve">HRD-177-26S052587</t>
        </is>
      </c>
      <c r="B596" s="7" t="inlineStr">
        <is>
          <t xml:space="preserve">HRD-177-26S052587</t>
        </is>
      </c>
      <c r="C596" s="7" t="inlineStr">
        <is>
          <t xml:space="preserve">AHL3NVDRX7_1</t>
        </is>
      </c>
      <c r="D596" s="19" t="inlineStr">
        <is>
          <t xml:space="preserve">W0602_FANCA_E27</t>
        </is>
      </c>
      <c r="E596" s="2">
        <v>2290</v>
      </c>
      <c r="F596" s="20" t="inlineStr">
        <is>
          <t xml:space="preserve">+</t>
        </is>
      </c>
      <c r="G596" s="4">
        <v>0.753</v>
      </c>
      <c r="H596" s="2">
        <v>1702</v>
      </c>
      <c r="I596" s="9" t="inlineStr">
        <is>
          <t xml:space="preserve">+</t>
        </is>
      </c>
      <c r="J596" s="4">
        <v>0.768</v>
      </c>
    </row>
    <row r="597">
      <c r="A597" s="6" t="inlineStr">
        <is>
          <t xml:space="preserve">HRD-177-26S052587</t>
        </is>
      </c>
      <c r="B597" s="7" t="inlineStr">
        <is>
          <t xml:space="preserve">HRD-177-26S052587</t>
        </is>
      </c>
      <c r="C597" s="7" t="inlineStr">
        <is>
          <t xml:space="preserve">AHL3NVDRX7_1</t>
        </is>
      </c>
      <c r="D597" s="19" t="inlineStr">
        <is>
          <t xml:space="preserve">W0603_FANCA_E26-25</t>
        </is>
      </c>
      <c r="E597" s="2">
        <v>1968</v>
      </c>
      <c r="F597" s="20" t="inlineStr">
        <is>
          <t xml:space="preserve">+</t>
        </is>
      </c>
      <c r="G597" s="4">
        <v>0.647</v>
      </c>
      <c r="H597" s="2">
        <v>1408</v>
      </c>
      <c r="I597" s="9" t="inlineStr">
        <is>
          <t xml:space="preserve">+</t>
        </is>
      </c>
      <c r="J597" s="4">
        <v>0.635</v>
      </c>
    </row>
    <row r="598">
      <c r="A598" s="6" t="inlineStr">
        <is>
          <t xml:space="preserve">HRD-177-26S052587</t>
        </is>
      </c>
      <c r="B598" s="7" t="inlineStr">
        <is>
          <t xml:space="preserve">HRD-177-26S052587</t>
        </is>
      </c>
      <c r="C598" s="7" t="inlineStr">
        <is>
          <t xml:space="preserve">AHL3NVDRX7_1</t>
        </is>
      </c>
      <c r="D598" s="19" t="inlineStr">
        <is>
          <t xml:space="preserve">W0604_FANCA_E26-25</t>
        </is>
      </c>
      <c r="E598" s="2">
        <v>1522</v>
      </c>
      <c r="F598" s="20" t="inlineStr">
        <is>
          <t xml:space="preserve">+</t>
        </is>
      </c>
      <c r="G598" s="4">
        <v>0.5</v>
      </c>
      <c r="H598" s="2">
        <v>1071</v>
      </c>
      <c r="I598" s="9" t="inlineStr">
        <is>
          <t xml:space="preserve">+</t>
        </is>
      </c>
      <c r="J598" s="4">
        <v>0.483</v>
      </c>
    </row>
    <row r="599">
      <c r="A599" s="6" t="inlineStr">
        <is>
          <t xml:space="preserve">HRD-177-26S052587</t>
        </is>
      </c>
      <c r="B599" s="7" t="inlineStr">
        <is>
          <t xml:space="preserve">HRD-177-26S052587</t>
        </is>
      </c>
      <c r="C599" s="7" t="inlineStr">
        <is>
          <t xml:space="preserve">AHL3NVDRX7_1</t>
        </is>
      </c>
      <c r="D599" s="19" t="inlineStr">
        <is>
          <t xml:space="preserve">W0605_FANCA_E26-25</t>
        </is>
      </c>
      <c r="E599" s="2">
        <v>1470</v>
      </c>
      <c r="F599" s="20" t="inlineStr">
        <is>
          <t xml:space="preserve">+</t>
        </is>
      </c>
      <c r="G599" s="4">
        <v>0.483</v>
      </c>
      <c r="H599" s="2">
        <v>1047</v>
      </c>
      <c r="I599" s="9" t="inlineStr">
        <is>
          <t xml:space="preserve">+</t>
        </is>
      </c>
      <c r="J599" s="4">
        <v>0.472</v>
      </c>
    </row>
    <row r="600">
      <c r="A600" s="6" t="inlineStr">
        <is>
          <t xml:space="preserve">HRD-177-26S052587</t>
        </is>
      </c>
      <c r="B600" s="7" t="inlineStr">
        <is>
          <t xml:space="preserve">HRD-177-26S052587</t>
        </is>
      </c>
      <c r="C600" s="7" t="inlineStr">
        <is>
          <t xml:space="preserve">AHL3NVDRX7_1</t>
        </is>
      </c>
      <c r="D600" s="19" t="inlineStr">
        <is>
          <t xml:space="preserve">W0606_FANCA_E26-25</t>
        </is>
      </c>
      <c r="E600" s="2">
        <v>1734</v>
      </c>
      <c r="F600" s="20" t="inlineStr">
        <is>
          <t xml:space="preserve">+</t>
        </is>
      </c>
      <c r="G600" s="4">
        <v>0.57</v>
      </c>
      <c r="H600" s="2">
        <v>1212</v>
      </c>
      <c r="I600" s="9" t="inlineStr">
        <is>
          <t xml:space="preserve">+</t>
        </is>
      </c>
      <c r="J600" s="4">
        <v>0.547</v>
      </c>
    </row>
    <row r="601">
      <c r="A601" s="6" t="inlineStr">
        <is>
          <t xml:space="preserve">HRD-177-26S052587</t>
        </is>
      </c>
      <c r="B601" s="7" t="inlineStr">
        <is>
          <t xml:space="preserve">HRD-177-26S052587</t>
        </is>
      </c>
      <c r="C601" s="7" t="inlineStr">
        <is>
          <t xml:space="preserve">AHL3NVDRX7_1</t>
        </is>
      </c>
      <c r="D601" s="19" t="inlineStr">
        <is>
          <t xml:space="preserve">W0607_FANCA_E24</t>
        </is>
      </c>
      <c r="E601" s="2">
        <v>2039</v>
      </c>
      <c r="F601" s="20" t="inlineStr">
        <is>
          <t xml:space="preserve">+</t>
        </is>
      </c>
      <c r="G601" s="4">
        <v>0.67</v>
      </c>
      <c r="H601" s="2">
        <v>1326</v>
      </c>
      <c r="I601" s="9" t="inlineStr">
        <is>
          <t xml:space="preserve">+</t>
        </is>
      </c>
      <c r="J601" s="4">
        <v>0.598</v>
      </c>
    </row>
    <row r="602">
      <c r="A602" s="6" t="inlineStr">
        <is>
          <t xml:space="preserve">HRD-177-26S052587</t>
        </is>
      </c>
      <c r="B602" s="7" t="inlineStr">
        <is>
          <t xml:space="preserve">HRD-177-26S052587</t>
        </is>
      </c>
      <c r="C602" s="7" t="inlineStr">
        <is>
          <t xml:space="preserve">AHL3NVDRX7_1</t>
        </is>
      </c>
      <c r="D602" s="19" t="inlineStr">
        <is>
          <t xml:space="preserve">W0608_FANCA_E24</t>
        </is>
      </c>
      <c r="E602" s="2">
        <v>1726</v>
      </c>
      <c r="F602" s="20" t="inlineStr">
        <is>
          <t xml:space="preserve">+</t>
        </is>
      </c>
      <c r="G602" s="4">
        <v>0.567</v>
      </c>
      <c r="H602" s="2">
        <v>1185</v>
      </c>
      <c r="I602" s="9" t="inlineStr">
        <is>
          <t xml:space="preserve">+</t>
        </is>
      </c>
      <c r="J602" s="4">
        <v>0.535</v>
      </c>
    </row>
    <row r="603">
      <c r="A603" s="6" t="inlineStr">
        <is>
          <t xml:space="preserve">HRD-177-26S052587</t>
        </is>
      </c>
      <c r="B603" s="7" t="inlineStr">
        <is>
          <t xml:space="preserve">HRD-177-26S052587</t>
        </is>
      </c>
      <c r="C603" s="7" t="inlineStr">
        <is>
          <t xml:space="preserve">AHL3NVDRX7_1</t>
        </is>
      </c>
      <c r="D603" s="19" t="inlineStr">
        <is>
          <t xml:space="preserve">W0609_FANCA_E23</t>
        </is>
      </c>
      <c r="E603" s="2">
        <v>3476</v>
      </c>
      <c r="F603" s="20" t="inlineStr">
        <is>
          <t xml:space="preserve">+</t>
        </is>
      </c>
      <c r="G603" s="4">
        <v>1.142</v>
      </c>
      <c r="H603" s="2">
        <v>2414</v>
      </c>
      <c r="I603" s="9" t="inlineStr">
        <is>
          <t xml:space="preserve">+</t>
        </is>
      </c>
      <c r="J603" s="4">
        <v>1.089</v>
      </c>
    </row>
    <row r="604">
      <c r="A604" s="6" t="inlineStr">
        <is>
          <t xml:space="preserve">HRD-177-26S052587</t>
        </is>
      </c>
      <c r="B604" s="7" t="inlineStr">
        <is>
          <t xml:space="preserve">HRD-177-26S052587</t>
        </is>
      </c>
      <c r="C604" s="7" t="inlineStr">
        <is>
          <t xml:space="preserve">AHL3NVDRX7_1</t>
        </is>
      </c>
      <c r="D604" s="19" t="inlineStr">
        <is>
          <t xml:space="preserve">W0610_FANCA_E23</t>
        </is>
      </c>
      <c r="E604" s="2">
        <v>1761</v>
      </c>
      <c r="F604" s="20" t="inlineStr">
        <is>
          <t xml:space="preserve">+</t>
        </is>
      </c>
      <c r="G604" s="4">
        <v>0.579</v>
      </c>
      <c r="H604" s="2">
        <v>1289</v>
      </c>
      <c r="I604" s="9" t="inlineStr">
        <is>
          <t xml:space="preserve">+</t>
        </is>
      </c>
      <c r="J604" s="4">
        <v>0.582</v>
      </c>
    </row>
    <row r="605">
      <c r="A605" s="6" t="inlineStr">
        <is>
          <t xml:space="preserve">HRD-177-26S052587</t>
        </is>
      </c>
      <c r="B605" s="7" t="inlineStr">
        <is>
          <t xml:space="preserve">HRD-177-26S052587</t>
        </is>
      </c>
      <c r="C605" s="7" t="inlineStr">
        <is>
          <t xml:space="preserve">AHL3NVDRX7_1</t>
        </is>
      </c>
      <c r="D605" s="19" t="inlineStr">
        <is>
          <t xml:space="preserve">W0611_FANCA_E22</t>
        </is>
      </c>
      <c r="E605" s="2">
        <v>1284</v>
      </c>
      <c r="F605" s="20" t="inlineStr">
        <is>
          <t xml:space="preserve">+</t>
        </is>
      </c>
      <c r="G605" s="4">
        <v>0.422</v>
      </c>
      <c r="H605" s="2">
        <v>937</v>
      </c>
      <c r="I605" s="9" t="inlineStr">
        <is>
          <t xml:space="preserve">+</t>
        </is>
      </c>
      <c r="J605" s="4">
        <v>0.423</v>
      </c>
    </row>
    <row r="606">
      <c r="A606" s="6" t="inlineStr">
        <is>
          <t xml:space="preserve">HRD-177-26S052587</t>
        </is>
      </c>
      <c r="B606" s="7" t="inlineStr">
        <is>
          <t xml:space="preserve">HRD-177-26S052587</t>
        </is>
      </c>
      <c r="C606" s="7" t="inlineStr">
        <is>
          <t xml:space="preserve">AHL3NVDRX7_1</t>
        </is>
      </c>
      <c r="D606" s="19" t="inlineStr">
        <is>
          <t xml:space="preserve">W0612_FANCA_E22</t>
        </is>
      </c>
      <c r="E606" s="2">
        <v>1619</v>
      </c>
      <c r="F606" s="20" t="inlineStr">
        <is>
          <t xml:space="preserve">+</t>
        </is>
      </c>
      <c r="G606" s="4">
        <v>0.532</v>
      </c>
      <c r="H606" s="2">
        <v>1186</v>
      </c>
      <c r="I606" s="9" t="inlineStr">
        <is>
          <t xml:space="preserve">+</t>
        </is>
      </c>
      <c r="J606" s="4">
        <v>0.535</v>
      </c>
    </row>
    <row r="607">
      <c r="A607" s="6" t="inlineStr">
        <is>
          <t xml:space="preserve">HRD-177-26S052587</t>
        </is>
      </c>
      <c r="B607" s="7" t="inlineStr">
        <is>
          <t xml:space="preserve">HRD-177-26S052587</t>
        </is>
      </c>
      <c r="C607" s="7" t="inlineStr">
        <is>
          <t xml:space="preserve">AHL3NVDRX7_1</t>
        </is>
      </c>
      <c r="D607" s="19" t="inlineStr">
        <is>
          <t xml:space="preserve">W0613_FANCA_E21</t>
        </is>
      </c>
      <c r="E607" s="2">
        <v>3992</v>
      </c>
      <c r="F607" s="20" t="inlineStr">
        <is>
          <t xml:space="preserve">+</t>
        </is>
      </c>
      <c r="G607" s="4">
        <v>1.312</v>
      </c>
      <c r="H607" s="2">
        <v>2833</v>
      </c>
      <c r="I607" s="9" t="inlineStr">
        <is>
          <t xml:space="preserve">+</t>
        </is>
      </c>
      <c r="J607" s="4">
        <v>1.278</v>
      </c>
    </row>
    <row r="608">
      <c r="A608" s="6" t="inlineStr">
        <is>
          <t xml:space="preserve">HRD-177-26S052587</t>
        </is>
      </c>
      <c r="B608" s="7" t="inlineStr">
        <is>
          <t xml:space="preserve">HRD-177-26S052587</t>
        </is>
      </c>
      <c r="C608" s="7" t="inlineStr">
        <is>
          <t xml:space="preserve">AHL3NVDRX7_1</t>
        </is>
      </c>
      <c r="D608" s="19" t="inlineStr">
        <is>
          <t xml:space="preserve">W0614_FANCA_E21</t>
        </is>
      </c>
      <c r="E608" s="2">
        <v>2274</v>
      </c>
      <c r="F608" s="20" t="inlineStr">
        <is>
          <t xml:space="preserve">+</t>
        </is>
      </c>
      <c r="G608" s="4">
        <v>0.747</v>
      </c>
      <c r="H608" s="2">
        <v>1687</v>
      </c>
      <c r="I608" s="9" t="inlineStr">
        <is>
          <t xml:space="preserve">+</t>
        </is>
      </c>
      <c r="J608" s="4">
        <v>0.761</v>
      </c>
    </row>
    <row r="609">
      <c r="A609" s="6" t="inlineStr">
        <is>
          <t xml:space="preserve">HRD-177-26S052587</t>
        </is>
      </c>
      <c r="B609" s="7" t="inlineStr">
        <is>
          <t xml:space="preserve">HRD-177-26S052587</t>
        </is>
      </c>
      <c r="C609" s="7" t="inlineStr">
        <is>
          <t xml:space="preserve">AHL3NVDRX7_1</t>
        </is>
      </c>
      <c r="D609" s="19" t="inlineStr">
        <is>
          <t xml:space="preserve">W0615_FANCA_E20-19</t>
        </is>
      </c>
      <c r="E609" s="2">
        <v>403</v>
      </c>
      <c r="F609" s="20" t="inlineStr">
        <is>
          <t xml:space="preserve">-</t>
        </is>
      </c>
      <c r="G609" s="4">
        <v>0.132</v>
      </c>
      <c r="H609" s="2">
        <v>302</v>
      </c>
      <c r="I609" s="9" t="inlineStr">
        <is>
          <t xml:space="preserve">-</t>
        </is>
      </c>
      <c r="J609" s="4">
        <v>0.136</v>
      </c>
    </row>
    <row r="610">
      <c r="A610" s="6" t="inlineStr">
        <is>
          <t xml:space="preserve">HRD-177-26S052587</t>
        </is>
      </c>
      <c r="B610" s="7" t="inlineStr">
        <is>
          <t xml:space="preserve">HRD-177-26S052587</t>
        </is>
      </c>
      <c r="C610" s="7" t="inlineStr">
        <is>
          <t xml:space="preserve">AHL3NVDRX7_1</t>
        </is>
      </c>
      <c r="D610" s="19" t="inlineStr">
        <is>
          <t xml:space="preserve">W0616_FANCA_E20-19</t>
        </is>
      </c>
      <c r="E610" s="2">
        <v>2047</v>
      </c>
      <c r="F610" s="20" t="inlineStr">
        <is>
          <t xml:space="preserve">+</t>
        </is>
      </c>
      <c r="G610" s="4">
        <v>0.673</v>
      </c>
      <c r="H610" s="2">
        <v>1422</v>
      </c>
      <c r="I610" s="9" t="inlineStr">
        <is>
          <t xml:space="preserve">+</t>
        </is>
      </c>
      <c r="J610" s="4">
        <v>0.642</v>
      </c>
    </row>
    <row r="611">
      <c r="A611" s="6" t="inlineStr">
        <is>
          <t xml:space="preserve">HRD-177-26S052587</t>
        </is>
      </c>
      <c r="B611" s="7" t="inlineStr">
        <is>
          <t xml:space="preserve">HRD-177-26S052587</t>
        </is>
      </c>
      <c r="C611" s="7" t="inlineStr">
        <is>
          <t xml:space="preserve">AHL3NVDRX7_1</t>
        </is>
      </c>
      <c r="D611" s="19" t="inlineStr">
        <is>
          <t xml:space="preserve">W0617_FANCA_E18</t>
        </is>
      </c>
      <c r="E611" s="2">
        <v>2900</v>
      </c>
      <c r="F611" s="20" t="inlineStr">
        <is>
          <t xml:space="preserve">+</t>
        </is>
      </c>
      <c r="G611" s="4">
        <v>0.953</v>
      </c>
      <c r="H611" s="2">
        <v>1864</v>
      </c>
      <c r="I611" s="9" t="inlineStr">
        <is>
          <t xml:space="preserve">+</t>
        </is>
      </c>
      <c r="J611" s="4">
        <v>0.841</v>
      </c>
    </row>
    <row r="612">
      <c r="A612" s="6" t="inlineStr">
        <is>
          <t xml:space="preserve">HRD-177-26S052587</t>
        </is>
      </c>
      <c r="B612" s="7" t="inlineStr">
        <is>
          <t xml:space="preserve">HRD-177-26S052587</t>
        </is>
      </c>
      <c r="C612" s="7" t="inlineStr">
        <is>
          <t xml:space="preserve">AHL3NVDRX7_1</t>
        </is>
      </c>
      <c r="D612" s="19" t="inlineStr">
        <is>
          <t xml:space="preserve">W0618_FANCA_E18</t>
        </is>
      </c>
      <c r="E612" s="2">
        <v>2635</v>
      </c>
      <c r="F612" s="20" t="inlineStr">
        <is>
          <t xml:space="preserve">+</t>
        </is>
      </c>
      <c r="G612" s="4">
        <v>0.866</v>
      </c>
      <c r="H612" s="2">
        <v>1869</v>
      </c>
      <c r="I612" s="9" t="inlineStr">
        <is>
          <t xml:space="preserve">+</t>
        </is>
      </c>
      <c r="J612" s="4">
        <v>0.843</v>
      </c>
    </row>
    <row r="613">
      <c r="A613" s="6" t="inlineStr">
        <is>
          <t xml:space="preserve">HRD-177-26S052587</t>
        </is>
      </c>
      <c r="B613" s="7" t="inlineStr">
        <is>
          <t xml:space="preserve">HRD-177-26S052587</t>
        </is>
      </c>
      <c r="C613" s="7" t="inlineStr">
        <is>
          <t xml:space="preserve">AHL3NVDRX7_1</t>
        </is>
      </c>
      <c r="D613" s="19" t="inlineStr">
        <is>
          <t xml:space="preserve">W0619_FANCA_E17-16</t>
        </is>
      </c>
      <c r="E613" s="2">
        <v>1075</v>
      </c>
      <c r="F613" s="20" t="inlineStr">
        <is>
          <t xml:space="preserve">+</t>
        </is>
      </c>
      <c r="G613" s="4">
        <v>0.353</v>
      </c>
      <c r="H613" s="2">
        <v>802</v>
      </c>
      <c r="I613" s="9" t="inlineStr">
        <is>
          <t xml:space="preserve">+</t>
        </is>
      </c>
      <c r="J613" s="4">
        <v>0.362</v>
      </c>
    </row>
    <row r="614">
      <c r="A614" s="6" t="inlineStr">
        <is>
          <t xml:space="preserve">HRD-177-26S052587</t>
        </is>
      </c>
      <c r="B614" s="7" t="inlineStr">
        <is>
          <t xml:space="preserve">HRD-177-26S052587</t>
        </is>
      </c>
      <c r="C614" s="7" t="inlineStr">
        <is>
          <t xml:space="preserve">AHL3NVDRX7_1</t>
        </is>
      </c>
      <c r="D614" s="19" t="inlineStr">
        <is>
          <t xml:space="preserve">W0620_FANCA_E17-16</t>
        </is>
      </c>
      <c r="E614" s="2">
        <v>1492</v>
      </c>
      <c r="F614" s="20" t="inlineStr">
        <is>
          <t xml:space="preserve">+</t>
        </is>
      </c>
      <c r="G614" s="4">
        <v>0.49</v>
      </c>
      <c r="H614" s="2">
        <v>1062</v>
      </c>
      <c r="I614" s="9" t="inlineStr">
        <is>
          <t xml:space="preserve">+</t>
        </is>
      </c>
      <c r="J614" s="4">
        <v>0.479</v>
      </c>
    </row>
    <row r="615">
      <c r="A615" s="6" t="inlineStr">
        <is>
          <t xml:space="preserve">HRD-177-26S052587</t>
        </is>
      </c>
      <c r="B615" s="7" t="inlineStr">
        <is>
          <t xml:space="preserve">HRD-177-26S052587</t>
        </is>
      </c>
      <c r="C615" s="7" t="inlineStr">
        <is>
          <t xml:space="preserve">AHL3NVDRX7_1</t>
        </is>
      </c>
      <c r="D615" s="19" t="inlineStr">
        <is>
          <t xml:space="preserve">W0621_FANCA_E15</t>
        </is>
      </c>
      <c r="E615" s="2">
        <v>1492</v>
      </c>
      <c r="F615" s="20" t="inlineStr">
        <is>
          <t xml:space="preserve">+</t>
        </is>
      </c>
      <c r="G615" s="4">
        <v>0.49</v>
      </c>
      <c r="H615" s="2">
        <v>1022</v>
      </c>
      <c r="I615" s="9" t="inlineStr">
        <is>
          <t xml:space="preserve">+</t>
        </is>
      </c>
      <c r="J615" s="4">
        <v>0.461</v>
      </c>
    </row>
    <row r="616">
      <c r="A616" s="6" t="inlineStr">
        <is>
          <t xml:space="preserve">HRD-177-26S052587</t>
        </is>
      </c>
      <c r="B616" s="7" t="inlineStr">
        <is>
          <t xml:space="preserve">HRD-177-26S052587</t>
        </is>
      </c>
      <c r="C616" s="7" t="inlineStr">
        <is>
          <t xml:space="preserve">AHL3NVDRX7_1</t>
        </is>
      </c>
      <c r="D616" s="19" t="inlineStr">
        <is>
          <t xml:space="preserve">W0622_FANCA_E15</t>
        </is>
      </c>
      <c r="E616" s="2">
        <v>2378</v>
      </c>
      <c r="F616" s="20" t="inlineStr">
        <is>
          <t xml:space="preserve">+</t>
        </is>
      </c>
      <c r="G616" s="4">
        <v>0.782</v>
      </c>
      <c r="H616" s="2">
        <v>1616</v>
      </c>
      <c r="I616" s="9" t="inlineStr">
        <is>
          <t xml:space="preserve">+</t>
        </is>
      </c>
      <c r="J616" s="4">
        <v>0.729</v>
      </c>
    </row>
    <row r="617">
      <c r="A617" s="6" t="inlineStr">
        <is>
          <t xml:space="preserve">HRD-177-26S052587</t>
        </is>
      </c>
      <c r="B617" s="7" t="inlineStr">
        <is>
          <t xml:space="preserve">HRD-177-26S052587</t>
        </is>
      </c>
      <c r="C617" s="7" t="inlineStr">
        <is>
          <t xml:space="preserve">AHL3NVDRX7_1</t>
        </is>
      </c>
      <c r="D617" s="19" t="inlineStr">
        <is>
          <t xml:space="preserve">W0623_FANCA_E14</t>
        </is>
      </c>
      <c r="E617" s="2">
        <v>1757</v>
      </c>
      <c r="F617" s="20" t="inlineStr">
        <is>
          <t xml:space="preserve">+</t>
        </is>
      </c>
      <c r="G617" s="4">
        <v>0.577</v>
      </c>
      <c r="H617" s="2">
        <v>1198</v>
      </c>
      <c r="I617" s="9" t="inlineStr">
        <is>
          <t xml:space="preserve">+</t>
        </is>
      </c>
      <c r="J617" s="4">
        <v>0.54</v>
      </c>
    </row>
    <row r="618">
      <c r="A618" s="6" t="inlineStr">
        <is>
          <t xml:space="preserve">HRD-177-26S052587</t>
        </is>
      </c>
      <c r="B618" s="7" t="inlineStr">
        <is>
          <t xml:space="preserve">HRD-177-26S052587</t>
        </is>
      </c>
      <c r="C618" s="7" t="inlineStr">
        <is>
          <t xml:space="preserve">AHL3NVDRX7_1</t>
        </is>
      </c>
      <c r="D618" s="19" t="inlineStr">
        <is>
          <t xml:space="preserve">W0624_FANCA_E14</t>
        </is>
      </c>
      <c r="E618" s="2">
        <v>1849</v>
      </c>
      <c r="F618" s="20" t="inlineStr">
        <is>
          <t xml:space="preserve">+</t>
        </is>
      </c>
      <c r="G618" s="4">
        <v>0.608</v>
      </c>
      <c r="H618" s="2">
        <v>1264</v>
      </c>
      <c r="I618" s="9" t="inlineStr">
        <is>
          <t xml:space="preserve">+</t>
        </is>
      </c>
      <c r="J618" s="4">
        <v>0.57</v>
      </c>
    </row>
    <row r="619">
      <c r="A619" s="6" t="inlineStr">
        <is>
          <t xml:space="preserve">HRD-177-26S052587</t>
        </is>
      </c>
      <c r="B619" s="7" t="inlineStr">
        <is>
          <t xml:space="preserve">HRD-177-26S052587</t>
        </is>
      </c>
      <c r="C619" s="7" t="inlineStr">
        <is>
          <t xml:space="preserve">AHL3NVDRX7_1</t>
        </is>
      </c>
      <c r="D619" s="19" t="inlineStr">
        <is>
          <t xml:space="preserve">W0625_FANCA_E13</t>
        </is>
      </c>
      <c r="E619" s="2">
        <v>2413</v>
      </c>
      <c r="F619" s="20" t="inlineStr">
        <is>
          <t xml:space="preserve">+</t>
        </is>
      </c>
      <c r="G619" s="4">
        <v>0.793</v>
      </c>
      <c r="H619" s="2">
        <v>1701</v>
      </c>
      <c r="I619" s="9" t="inlineStr">
        <is>
          <t xml:space="preserve">+</t>
        </is>
      </c>
      <c r="J619" s="4">
        <v>0.767</v>
      </c>
    </row>
    <row r="620">
      <c r="A620" s="6" t="inlineStr">
        <is>
          <t xml:space="preserve">HRD-177-26S052587</t>
        </is>
      </c>
      <c r="B620" s="7" t="inlineStr">
        <is>
          <t xml:space="preserve">HRD-177-26S052587</t>
        </is>
      </c>
      <c r="C620" s="7" t="inlineStr">
        <is>
          <t xml:space="preserve">AHL3NVDRX7_1</t>
        </is>
      </c>
      <c r="D620" s="19" t="inlineStr">
        <is>
          <t xml:space="preserve">W0626_FANCA_E13</t>
        </is>
      </c>
      <c r="E620" s="2">
        <v>1085</v>
      </c>
      <c r="F620" s="20" t="inlineStr">
        <is>
          <t xml:space="preserve">+</t>
        </is>
      </c>
      <c r="G620" s="4">
        <v>0.357</v>
      </c>
      <c r="H620" s="2">
        <v>793</v>
      </c>
      <c r="I620" s="9" t="inlineStr">
        <is>
          <t xml:space="preserve">+</t>
        </is>
      </c>
      <c r="J620" s="4">
        <v>0.358</v>
      </c>
    </row>
    <row r="621">
      <c r="A621" s="6" t="inlineStr">
        <is>
          <t xml:space="preserve">HRD-177-26S052587</t>
        </is>
      </c>
      <c r="B621" s="7" t="inlineStr">
        <is>
          <t xml:space="preserve">HRD-177-26S052587</t>
        </is>
      </c>
      <c r="C621" s="7" t="inlineStr">
        <is>
          <t xml:space="preserve">AHL3NVDRX7_1</t>
        </is>
      </c>
      <c r="D621" s="19" t="inlineStr">
        <is>
          <t xml:space="preserve">W0627_FANCA_E12</t>
        </is>
      </c>
      <c r="E621" s="2">
        <v>2401</v>
      </c>
      <c r="F621" s="20" t="inlineStr">
        <is>
          <t xml:space="preserve">+</t>
        </is>
      </c>
      <c r="G621" s="4">
        <v>0.789</v>
      </c>
      <c r="H621" s="2">
        <v>1473</v>
      </c>
      <c r="I621" s="9" t="inlineStr">
        <is>
          <t xml:space="preserve">+</t>
        </is>
      </c>
      <c r="J621" s="4">
        <v>0.665</v>
      </c>
    </row>
    <row r="622">
      <c r="A622" s="6" t="inlineStr">
        <is>
          <t xml:space="preserve">HRD-177-26S052587</t>
        </is>
      </c>
      <c r="B622" s="7" t="inlineStr">
        <is>
          <t xml:space="preserve">HRD-177-26S052587</t>
        </is>
      </c>
      <c r="C622" s="7" t="inlineStr">
        <is>
          <t xml:space="preserve">AHL3NVDRX7_1</t>
        </is>
      </c>
      <c r="D622" s="19" t="inlineStr">
        <is>
          <t xml:space="preserve">W0628_FANCA_E12</t>
        </is>
      </c>
      <c r="E622" s="2">
        <v>2468</v>
      </c>
      <c r="F622" s="20" t="inlineStr">
        <is>
          <t xml:space="preserve">+</t>
        </is>
      </c>
      <c r="G622" s="4">
        <v>0.811</v>
      </c>
      <c r="H622" s="2">
        <v>1679</v>
      </c>
      <c r="I622" s="9" t="inlineStr">
        <is>
          <t xml:space="preserve">+</t>
        </is>
      </c>
      <c r="J622" s="4">
        <v>0.757</v>
      </c>
    </row>
    <row r="623">
      <c r="A623" s="6" t="inlineStr">
        <is>
          <t xml:space="preserve">HRD-177-26S052587</t>
        </is>
      </c>
      <c r="B623" s="7" t="inlineStr">
        <is>
          <t xml:space="preserve">HRD-177-26S052587</t>
        </is>
      </c>
      <c r="C623" s="7" t="inlineStr">
        <is>
          <t xml:space="preserve">AHL3NVDRX7_1</t>
        </is>
      </c>
      <c r="D623" s="19" t="inlineStr">
        <is>
          <t xml:space="preserve">W0629_FANCA_E11</t>
        </is>
      </c>
      <c r="E623" s="2">
        <v>2707</v>
      </c>
      <c r="F623" s="20" t="inlineStr">
        <is>
          <t xml:space="preserve">+</t>
        </is>
      </c>
      <c r="G623" s="4">
        <v>0.89</v>
      </c>
      <c r="H623" s="2">
        <v>1797</v>
      </c>
      <c r="I623" s="9" t="inlineStr">
        <is>
          <t xml:space="preserve">+</t>
        </is>
      </c>
      <c r="J623" s="4">
        <v>0.811</v>
      </c>
    </row>
    <row r="624">
      <c r="A624" s="6" t="inlineStr">
        <is>
          <t xml:space="preserve">HRD-177-26S052587</t>
        </is>
      </c>
      <c r="B624" s="7" t="inlineStr">
        <is>
          <t xml:space="preserve">HRD-177-26S052587</t>
        </is>
      </c>
      <c r="C624" s="7" t="inlineStr">
        <is>
          <t xml:space="preserve">AHL3NVDRX7_1</t>
        </is>
      </c>
      <c r="D624" s="19" t="inlineStr">
        <is>
          <t xml:space="preserve">W0630_FANCA_E11</t>
        </is>
      </c>
      <c r="E624" s="2">
        <v>2632</v>
      </c>
      <c r="F624" s="20" t="inlineStr">
        <is>
          <t xml:space="preserve">+</t>
        </is>
      </c>
      <c r="G624" s="4">
        <v>0.865</v>
      </c>
      <c r="H624" s="2">
        <v>1720</v>
      </c>
      <c r="I624" s="9" t="inlineStr">
        <is>
          <t xml:space="preserve">+</t>
        </is>
      </c>
      <c r="J624" s="4">
        <v>0.776</v>
      </c>
    </row>
    <row r="625">
      <c r="A625" s="6" t="inlineStr">
        <is>
          <t xml:space="preserve">HRD-177-26S052587</t>
        </is>
      </c>
      <c r="B625" s="7" t="inlineStr">
        <is>
          <t xml:space="preserve">HRD-177-26S052587</t>
        </is>
      </c>
      <c r="C625" s="7" t="inlineStr">
        <is>
          <t xml:space="preserve">AHL3NVDRX7_1</t>
        </is>
      </c>
      <c r="D625" s="19" t="inlineStr">
        <is>
          <t xml:space="preserve">W0631_FANCA_E10</t>
        </is>
      </c>
      <c r="E625" s="2">
        <v>2696</v>
      </c>
      <c r="F625" s="20" t="inlineStr">
        <is>
          <t xml:space="preserve">+</t>
        </is>
      </c>
      <c r="G625" s="4">
        <v>0.886</v>
      </c>
      <c r="H625" s="2">
        <v>1697</v>
      </c>
      <c r="I625" s="9" t="inlineStr">
        <is>
          <t xml:space="preserve">+</t>
        </is>
      </c>
      <c r="J625" s="4">
        <v>0.766</v>
      </c>
    </row>
    <row r="626">
      <c r="A626" s="6" t="inlineStr">
        <is>
          <t xml:space="preserve">HRD-177-26S052587</t>
        </is>
      </c>
      <c r="B626" s="7" t="inlineStr">
        <is>
          <t xml:space="preserve">HRD-177-26S052587</t>
        </is>
      </c>
      <c r="C626" s="7" t="inlineStr">
        <is>
          <t xml:space="preserve">AHL3NVDRX7_1</t>
        </is>
      </c>
      <c r="D626" s="19" t="inlineStr">
        <is>
          <t xml:space="preserve">W0632_FANCA_E10</t>
        </is>
      </c>
      <c r="E626" s="2">
        <v>3012</v>
      </c>
      <c r="F626" s="20" t="inlineStr">
        <is>
          <t xml:space="preserve">+</t>
        </is>
      </c>
      <c r="G626" s="4">
        <v>0.99</v>
      </c>
      <c r="H626" s="2">
        <v>1962</v>
      </c>
      <c r="I626" s="9" t="inlineStr">
        <is>
          <t xml:space="preserve">+</t>
        </is>
      </c>
      <c r="J626" s="4">
        <v>0.885</v>
      </c>
    </row>
    <row r="627">
      <c r="A627" s="6" t="inlineStr">
        <is>
          <t xml:space="preserve">HRD-177-26S052587</t>
        </is>
      </c>
      <c r="B627" s="7" t="inlineStr">
        <is>
          <t xml:space="preserve">HRD-177-26S052587</t>
        </is>
      </c>
      <c r="C627" s="7" t="inlineStr">
        <is>
          <t xml:space="preserve">AHL3NVDRX7_1</t>
        </is>
      </c>
      <c r="D627" s="19" t="inlineStr">
        <is>
          <t xml:space="preserve">W0633_FANCA_E09</t>
        </is>
      </c>
      <c r="E627" s="2">
        <v>3876</v>
      </c>
      <c r="F627" s="20" t="inlineStr">
        <is>
          <t xml:space="preserve">+</t>
        </is>
      </c>
      <c r="G627" s="4">
        <v>1.274</v>
      </c>
      <c r="H627" s="2">
        <v>2580</v>
      </c>
      <c r="I627" s="9" t="inlineStr">
        <is>
          <t xml:space="preserve">+</t>
        </is>
      </c>
      <c r="J627" s="4">
        <v>1.164</v>
      </c>
    </row>
    <row r="628">
      <c r="A628" s="6" t="inlineStr">
        <is>
          <t xml:space="preserve">HRD-177-26S052587</t>
        </is>
      </c>
      <c r="B628" s="7" t="inlineStr">
        <is>
          <t xml:space="preserve">HRD-177-26S052587</t>
        </is>
      </c>
      <c r="C628" s="7" t="inlineStr">
        <is>
          <t xml:space="preserve">AHL3NVDRX7_1</t>
        </is>
      </c>
      <c r="D628" s="19" t="inlineStr">
        <is>
          <t xml:space="preserve">W0634_FANCA_E09</t>
        </is>
      </c>
      <c r="E628" s="2">
        <v>3209</v>
      </c>
      <c r="F628" s="20" t="inlineStr">
        <is>
          <t xml:space="preserve">+</t>
        </is>
      </c>
      <c r="G628" s="4">
        <v>1.055</v>
      </c>
      <c r="H628" s="2">
        <v>2114</v>
      </c>
      <c r="I628" s="9" t="inlineStr">
        <is>
          <t xml:space="preserve">+</t>
        </is>
      </c>
      <c r="J628" s="4">
        <v>0.954</v>
      </c>
    </row>
    <row r="629">
      <c r="A629" s="6" t="inlineStr">
        <is>
          <t xml:space="preserve">HRD-177-26S052587</t>
        </is>
      </c>
      <c r="B629" s="7" t="inlineStr">
        <is>
          <t xml:space="preserve">HRD-177-26S052587</t>
        </is>
      </c>
      <c r="C629" s="7" t="inlineStr">
        <is>
          <t xml:space="preserve">AHL3NVDRX7_1</t>
        </is>
      </c>
      <c r="D629" s="19" t="inlineStr">
        <is>
          <t xml:space="preserve">W0635_FANCA_E08</t>
        </is>
      </c>
      <c r="E629" s="2">
        <v>2727</v>
      </c>
      <c r="F629" s="20" t="inlineStr">
        <is>
          <t xml:space="preserve">+</t>
        </is>
      </c>
      <c r="G629" s="4">
        <v>0.896</v>
      </c>
      <c r="H629" s="2">
        <v>2005</v>
      </c>
      <c r="I629" s="9" t="inlineStr">
        <is>
          <t xml:space="preserve">+</t>
        </is>
      </c>
      <c r="J629" s="4">
        <v>0.905</v>
      </c>
    </row>
    <row r="630">
      <c r="A630" s="6" t="inlineStr">
        <is>
          <t xml:space="preserve">HRD-177-26S052587</t>
        </is>
      </c>
      <c r="B630" s="7" t="inlineStr">
        <is>
          <t xml:space="preserve">HRD-177-26S052587</t>
        </is>
      </c>
      <c r="C630" s="7" t="inlineStr">
        <is>
          <t xml:space="preserve">AHL3NVDRX7_1</t>
        </is>
      </c>
      <c r="D630" s="19" t="inlineStr">
        <is>
          <t xml:space="preserve">W0636_FANCA_E08</t>
        </is>
      </c>
      <c r="E630" s="2">
        <v>2626</v>
      </c>
      <c r="F630" s="20" t="inlineStr">
        <is>
          <t xml:space="preserve">+</t>
        </is>
      </c>
      <c r="G630" s="4">
        <v>0.863</v>
      </c>
      <c r="H630" s="2">
        <v>1949</v>
      </c>
      <c r="I630" s="9" t="inlineStr">
        <is>
          <t xml:space="preserve">+</t>
        </is>
      </c>
      <c r="J630" s="4">
        <v>0.879</v>
      </c>
    </row>
    <row r="631">
      <c r="A631" s="6" t="inlineStr">
        <is>
          <t xml:space="preserve">HRD-177-26S052587</t>
        </is>
      </c>
      <c r="B631" s="7" t="inlineStr">
        <is>
          <t xml:space="preserve">HRD-177-26S052587</t>
        </is>
      </c>
      <c r="C631" s="7" t="inlineStr">
        <is>
          <t xml:space="preserve">AHL3NVDRX7_1</t>
        </is>
      </c>
      <c r="D631" s="19" t="inlineStr">
        <is>
          <t xml:space="preserve">W0637_FANCA_E07</t>
        </is>
      </c>
      <c r="E631" s="2">
        <v>2335</v>
      </c>
      <c r="F631" s="20" t="inlineStr">
        <is>
          <t xml:space="preserve">+</t>
        </is>
      </c>
      <c r="G631" s="4">
        <v>0.767</v>
      </c>
      <c r="H631" s="2">
        <v>1639</v>
      </c>
      <c r="I631" s="9" t="inlineStr">
        <is>
          <t xml:space="preserve">+</t>
        </is>
      </c>
      <c r="J631" s="4">
        <v>0.739</v>
      </c>
    </row>
    <row r="632">
      <c r="A632" s="6" t="inlineStr">
        <is>
          <t xml:space="preserve">HRD-177-26S052587</t>
        </is>
      </c>
      <c r="B632" s="7" t="inlineStr">
        <is>
          <t xml:space="preserve">HRD-177-26S052587</t>
        </is>
      </c>
      <c r="C632" s="7" t="inlineStr">
        <is>
          <t xml:space="preserve">AHL3NVDRX7_1</t>
        </is>
      </c>
      <c r="D632" s="19" t="inlineStr">
        <is>
          <t xml:space="preserve">W0638_FANCA_E07</t>
        </is>
      </c>
      <c r="E632" s="2">
        <v>2365</v>
      </c>
      <c r="F632" s="20" t="inlineStr">
        <is>
          <t xml:space="preserve">+</t>
        </is>
      </c>
      <c r="G632" s="4">
        <v>0.777</v>
      </c>
      <c r="H632" s="2">
        <v>1595</v>
      </c>
      <c r="I632" s="9" t="inlineStr">
        <is>
          <t xml:space="preserve">+</t>
        </is>
      </c>
      <c r="J632" s="4">
        <v>0.72</v>
      </c>
    </row>
    <row r="633">
      <c r="A633" s="6" t="inlineStr">
        <is>
          <t xml:space="preserve">HRD-177-26S052587</t>
        </is>
      </c>
      <c r="B633" s="7" t="inlineStr">
        <is>
          <t xml:space="preserve">HRD-177-26S052587</t>
        </is>
      </c>
      <c r="C633" s="7" t="inlineStr">
        <is>
          <t xml:space="preserve">AHL3NVDRX7_1</t>
        </is>
      </c>
      <c r="D633" s="19" t="inlineStr">
        <is>
          <t xml:space="preserve">W0639_FANCA_E06</t>
        </is>
      </c>
      <c r="E633" s="2">
        <v>3602</v>
      </c>
      <c r="F633" s="20" t="inlineStr">
        <is>
          <t xml:space="preserve">+</t>
        </is>
      </c>
      <c r="G633" s="4">
        <v>1.184</v>
      </c>
      <c r="H633" s="2">
        <v>2409</v>
      </c>
      <c r="I633" s="9" t="inlineStr">
        <is>
          <t xml:space="preserve">+</t>
        </is>
      </c>
      <c r="J633" s="4">
        <v>1.087</v>
      </c>
    </row>
    <row r="634">
      <c r="A634" s="6" t="inlineStr">
        <is>
          <t xml:space="preserve">HRD-177-26S052587</t>
        </is>
      </c>
      <c r="B634" s="7" t="inlineStr">
        <is>
          <t xml:space="preserve">HRD-177-26S052587</t>
        </is>
      </c>
      <c r="C634" s="7" t="inlineStr">
        <is>
          <t xml:space="preserve">AHL3NVDRX7_1</t>
        </is>
      </c>
      <c r="D634" s="19" t="inlineStr">
        <is>
          <t xml:space="preserve">W0640_FANCA_E06</t>
        </is>
      </c>
      <c r="E634" s="2">
        <v>2154</v>
      </c>
      <c r="F634" s="20" t="inlineStr">
        <is>
          <t xml:space="preserve">+</t>
        </is>
      </c>
      <c r="G634" s="4">
        <v>0.708</v>
      </c>
      <c r="H634" s="2">
        <v>1581</v>
      </c>
      <c r="I634" s="9" t="inlineStr">
        <is>
          <t xml:space="preserve">+</t>
        </is>
      </c>
      <c r="J634" s="4">
        <v>0.713</v>
      </c>
    </row>
    <row r="635">
      <c r="A635" s="6" t="inlineStr">
        <is>
          <t xml:space="preserve">HRD-177-26S052587</t>
        </is>
      </c>
      <c r="B635" s="7" t="inlineStr">
        <is>
          <t xml:space="preserve">HRD-177-26S052587</t>
        </is>
      </c>
      <c r="C635" s="7" t="inlineStr">
        <is>
          <t xml:space="preserve">AHL3NVDRX7_1</t>
        </is>
      </c>
      <c r="D635" s="19" t="inlineStr">
        <is>
          <t xml:space="preserve">W0641_FANCA_E05-04</t>
        </is>
      </c>
      <c r="E635" s="2">
        <v>959</v>
      </c>
      <c r="F635" s="20" t="inlineStr">
        <is>
          <t xml:space="preserve">+</t>
        </is>
      </c>
      <c r="G635" s="4">
        <v>0.315</v>
      </c>
      <c r="H635" s="2">
        <v>718</v>
      </c>
      <c r="I635" s="9" t="inlineStr">
        <is>
          <t xml:space="preserve">+</t>
        </is>
      </c>
      <c r="J635" s="4">
        <v>0.324</v>
      </c>
    </row>
    <row r="636">
      <c r="A636" s="6" t="inlineStr">
        <is>
          <t xml:space="preserve">HRD-177-26S052587</t>
        </is>
      </c>
      <c r="B636" s="7" t="inlineStr">
        <is>
          <t xml:space="preserve">HRD-177-26S052587</t>
        </is>
      </c>
      <c r="C636" s="7" t="inlineStr">
        <is>
          <t xml:space="preserve">AHL3NVDRX7_1</t>
        </is>
      </c>
      <c r="D636" s="19" t="inlineStr">
        <is>
          <t xml:space="preserve">W0642_FANCA_E05-04</t>
        </is>
      </c>
      <c r="E636" s="2">
        <v>1403</v>
      </c>
      <c r="F636" s="20" t="inlineStr">
        <is>
          <t xml:space="preserve">+</t>
        </is>
      </c>
      <c r="G636" s="4">
        <v>0.461</v>
      </c>
      <c r="H636" s="2">
        <v>1058</v>
      </c>
      <c r="I636" s="9" t="inlineStr">
        <is>
          <t xml:space="preserve">+</t>
        </is>
      </c>
      <c r="J636" s="4">
        <v>0.477</v>
      </c>
    </row>
    <row r="637">
      <c r="A637" s="6" t="inlineStr">
        <is>
          <t xml:space="preserve">HRD-177-26S052587</t>
        </is>
      </c>
      <c r="B637" s="7" t="inlineStr">
        <is>
          <t xml:space="preserve">HRD-177-26S052587</t>
        </is>
      </c>
      <c r="C637" s="7" t="inlineStr">
        <is>
          <t xml:space="preserve">AHL3NVDRX7_1</t>
        </is>
      </c>
      <c r="D637" s="19" t="inlineStr">
        <is>
          <t xml:space="preserve">W0643_FANCA_E05-04</t>
        </is>
      </c>
      <c r="E637" s="2">
        <v>1310</v>
      </c>
      <c r="F637" s="20" t="inlineStr">
        <is>
          <t xml:space="preserve">+</t>
        </is>
      </c>
      <c r="G637" s="4">
        <v>0.431</v>
      </c>
      <c r="H637" s="2">
        <v>1010</v>
      </c>
      <c r="I637" s="9" t="inlineStr">
        <is>
          <t xml:space="preserve">+</t>
        </is>
      </c>
      <c r="J637" s="4">
        <v>0.456</v>
      </c>
    </row>
    <row r="638">
      <c r="A638" s="6" t="inlineStr">
        <is>
          <t xml:space="preserve">HRD-177-26S052587</t>
        </is>
      </c>
      <c r="B638" s="7" t="inlineStr">
        <is>
          <t xml:space="preserve">HRD-177-26S052587</t>
        </is>
      </c>
      <c r="C638" s="7" t="inlineStr">
        <is>
          <t xml:space="preserve">AHL3NVDRX7_1</t>
        </is>
      </c>
      <c r="D638" s="19" t="inlineStr">
        <is>
          <t xml:space="preserve">W0644_FANCA_E03</t>
        </is>
      </c>
      <c r="E638" s="2">
        <v>2241</v>
      </c>
      <c r="F638" s="20" t="inlineStr">
        <is>
          <t xml:space="preserve">+</t>
        </is>
      </c>
      <c r="G638" s="4">
        <v>0.736</v>
      </c>
      <c r="H638" s="2">
        <v>1687</v>
      </c>
      <c r="I638" s="9" t="inlineStr">
        <is>
          <t xml:space="preserve">+</t>
        </is>
      </c>
      <c r="J638" s="4">
        <v>0.761</v>
      </c>
    </row>
    <row r="639">
      <c r="A639" s="6" t="inlineStr">
        <is>
          <t xml:space="preserve">HRD-177-26S052587</t>
        </is>
      </c>
      <c r="B639" s="7" t="inlineStr">
        <is>
          <t xml:space="preserve">HRD-177-26S052587</t>
        </is>
      </c>
      <c r="C639" s="7" t="inlineStr">
        <is>
          <t xml:space="preserve">AHL3NVDRX7_1</t>
        </is>
      </c>
      <c r="D639" s="19" t="inlineStr">
        <is>
          <t xml:space="preserve">W0645_FANCA_E03</t>
        </is>
      </c>
      <c r="E639" s="2">
        <v>3081</v>
      </c>
      <c r="F639" s="20" t="inlineStr">
        <is>
          <t xml:space="preserve">+</t>
        </is>
      </c>
      <c r="G639" s="4">
        <v>1.013</v>
      </c>
      <c r="H639" s="2">
        <v>2224</v>
      </c>
      <c r="I639" s="9" t="inlineStr">
        <is>
          <t xml:space="preserve">+</t>
        </is>
      </c>
      <c r="J639" s="4">
        <v>1.003</v>
      </c>
    </row>
    <row r="640">
      <c r="A640" s="6" t="inlineStr">
        <is>
          <t xml:space="preserve">HRD-177-26S052587</t>
        </is>
      </c>
      <c r="B640" s="7" t="inlineStr">
        <is>
          <t xml:space="preserve">HRD-177-26S052587</t>
        </is>
      </c>
      <c r="C640" s="7" t="inlineStr">
        <is>
          <t xml:space="preserve">AHL3NVDRX7_1</t>
        </is>
      </c>
      <c r="D640" s="19" t="inlineStr">
        <is>
          <t xml:space="preserve">W0646_FANCA_E02</t>
        </is>
      </c>
      <c r="E640" s="2">
        <v>1690</v>
      </c>
      <c r="F640" s="20" t="inlineStr">
        <is>
          <t xml:space="preserve">+</t>
        </is>
      </c>
      <c r="G640" s="4">
        <v>0.555</v>
      </c>
      <c r="H640" s="2">
        <v>1150</v>
      </c>
      <c r="I640" s="9" t="inlineStr">
        <is>
          <t xml:space="preserve">+</t>
        </is>
      </c>
      <c r="J640" s="4">
        <v>0.519</v>
      </c>
    </row>
    <row r="641">
      <c r="A641" s="6" t="inlineStr">
        <is>
          <t xml:space="preserve">HRD-177-26S052587</t>
        </is>
      </c>
      <c r="B641" s="7" t="inlineStr">
        <is>
          <t xml:space="preserve">HRD-177-26S052587</t>
        </is>
      </c>
      <c r="C641" s="7" t="inlineStr">
        <is>
          <t xml:space="preserve">AHL3NVDRX7_1</t>
        </is>
      </c>
      <c r="D641" s="19" t="inlineStr">
        <is>
          <t xml:space="preserve">W0647_FANCA_E02</t>
        </is>
      </c>
      <c r="E641" s="2">
        <v>1596</v>
      </c>
      <c r="F641" s="20" t="inlineStr">
        <is>
          <t xml:space="preserve">+</t>
        </is>
      </c>
      <c r="G641" s="4">
        <v>0.525</v>
      </c>
      <c r="H641" s="2">
        <v>1139</v>
      </c>
      <c r="I641" s="9" t="inlineStr">
        <is>
          <t xml:space="preserve">+</t>
        </is>
      </c>
      <c r="J641" s="4">
        <v>0.514</v>
      </c>
    </row>
    <row r="642">
      <c r="A642" s="6" t="inlineStr">
        <is>
          <t xml:space="preserve">HRD-177-26S052587</t>
        </is>
      </c>
      <c r="B642" s="7" t="inlineStr">
        <is>
          <t xml:space="preserve">HRD-177-26S052587</t>
        </is>
      </c>
      <c r="C642" s="7" t="inlineStr">
        <is>
          <t xml:space="preserve">AHL3NVDRX7_1</t>
        </is>
      </c>
      <c r="D642" s="19" t="inlineStr">
        <is>
          <t xml:space="preserve">W0648_FANCA_E01</t>
        </is>
      </c>
      <c r="E642" s="2">
        <v>964</v>
      </c>
      <c r="F642" s="20" t="inlineStr">
        <is>
          <t xml:space="preserve">+</t>
        </is>
      </c>
      <c r="G642" s="4">
        <v>0.317</v>
      </c>
      <c r="H642" s="2">
        <v>652</v>
      </c>
      <c r="I642" s="9" t="inlineStr">
        <is>
          <t xml:space="preserve">+</t>
        </is>
      </c>
      <c r="J642" s="4">
        <v>0.294</v>
      </c>
    </row>
    <row r="643">
      <c r="A643" s="6" t="inlineStr">
        <is>
          <t xml:space="preserve">HRD-177-26S052587</t>
        </is>
      </c>
      <c r="B643" s="7" t="inlineStr">
        <is>
          <t xml:space="preserve">HRD-177-26S052587</t>
        </is>
      </c>
      <c r="C643" s="7" t="inlineStr">
        <is>
          <t xml:space="preserve">AHL3NVDRX7_1</t>
        </is>
      </c>
      <c r="D643" s="19" t="inlineStr">
        <is>
          <t xml:space="preserve">W0649_FANCA_E01</t>
        </is>
      </c>
      <c r="E643" s="2">
        <v>407</v>
      </c>
      <c r="F643" s="20" t="inlineStr">
        <is>
          <t xml:space="preserve">-</t>
        </is>
      </c>
      <c r="G643" s="4">
        <v>0.134</v>
      </c>
      <c r="H643" s="2">
        <v>261</v>
      </c>
      <c r="I643" s="9" t="inlineStr">
        <is>
          <t xml:space="preserve">-</t>
        </is>
      </c>
      <c r="J643" s="4">
        <v>0.118</v>
      </c>
    </row>
    <row r="644">
      <c r="A644" s="6" t="inlineStr">
        <is>
          <t xml:space="preserve">HRD-177-26S052587</t>
        </is>
      </c>
      <c r="B644" s="7" t="inlineStr">
        <is>
          <t xml:space="preserve">HRD-177-26S052587</t>
        </is>
      </c>
      <c r="C644" s="7" t="inlineStr">
        <is>
          <t xml:space="preserve">AHL3NVDRX7_1</t>
        </is>
      </c>
      <c r="D644" s="19" t="inlineStr">
        <is>
          <t xml:space="preserve">W0650_FANCL_E14</t>
        </is>
      </c>
      <c r="E644" s="2">
        <v>3737</v>
      </c>
      <c r="F644" s="20" t="inlineStr">
        <is>
          <t xml:space="preserve">+</t>
        </is>
      </c>
      <c r="G644" s="4">
        <v>1.228</v>
      </c>
      <c r="H644" s="2">
        <v>2847</v>
      </c>
      <c r="I644" s="9" t="inlineStr">
        <is>
          <t xml:space="preserve">+</t>
        </is>
      </c>
      <c r="J644" s="4">
        <v>1.284</v>
      </c>
    </row>
    <row r="645">
      <c r="A645" s="6" t="inlineStr">
        <is>
          <t xml:space="preserve">HRD-177-26S052587</t>
        </is>
      </c>
      <c r="B645" s="7" t="inlineStr">
        <is>
          <t xml:space="preserve">HRD-177-26S052587</t>
        </is>
      </c>
      <c r="C645" s="7" t="inlineStr">
        <is>
          <t xml:space="preserve">AHL3NVDRX7_1</t>
        </is>
      </c>
      <c r="D645" s="19" t="inlineStr">
        <is>
          <t xml:space="preserve">W0652_FANCL_E13</t>
        </is>
      </c>
      <c r="E645" s="2">
        <v>6410</v>
      </c>
      <c r="F645" s="20" t="inlineStr">
        <is>
          <t xml:space="preserve">+</t>
        </is>
      </c>
      <c r="G645" s="4">
        <v>2.107</v>
      </c>
      <c r="H645" s="2">
        <v>4613</v>
      </c>
      <c r="I645" s="9" t="inlineStr">
        <is>
          <t xml:space="preserve">+</t>
        </is>
      </c>
      <c r="J645" s="4">
        <v>2.081</v>
      </c>
    </row>
    <row r="646">
      <c r="A646" s="6" t="inlineStr">
        <is>
          <t xml:space="preserve">HRD-177-26S052587</t>
        </is>
      </c>
      <c r="B646" s="7" t="inlineStr">
        <is>
          <t xml:space="preserve">HRD-177-26S052587</t>
        </is>
      </c>
      <c r="C646" s="7" t="inlineStr">
        <is>
          <t xml:space="preserve">AHL3NVDRX7_1</t>
        </is>
      </c>
      <c r="D646" s="19" t="inlineStr">
        <is>
          <t xml:space="preserve">W0653_FANCL_E13</t>
        </is>
      </c>
      <c r="E646" s="2">
        <v>4699</v>
      </c>
      <c r="F646" s="20" t="inlineStr">
        <is>
          <t xml:space="preserve">+</t>
        </is>
      </c>
      <c r="G646" s="4">
        <v>1.544</v>
      </c>
      <c r="H646" s="2">
        <v>3415</v>
      </c>
      <c r="I646" s="9" t="inlineStr">
        <is>
          <t xml:space="preserve">+</t>
        </is>
      </c>
      <c r="J646" s="4">
        <v>1.541</v>
      </c>
    </row>
    <row r="647">
      <c r="A647" s="6" t="inlineStr">
        <is>
          <t xml:space="preserve">HRD-177-26S052587</t>
        </is>
      </c>
      <c r="B647" s="7" t="inlineStr">
        <is>
          <t xml:space="preserve">HRD-177-26S052587</t>
        </is>
      </c>
      <c r="C647" s="7" t="inlineStr">
        <is>
          <t xml:space="preserve">AHL3NVDRX7_1</t>
        </is>
      </c>
      <c r="D647" s="19" t="inlineStr">
        <is>
          <t xml:space="preserve">W0654_FANCL_E12</t>
        </is>
      </c>
      <c r="E647" s="2">
        <v>6409</v>
      </c>
      <c r="F647" s="20" t="inlineStr">
        <is>
          <t xml:space="preserve">+</t>
        </is>
      </c>
      <c r="G647" s="4">
        <v>2.106</v>
      </c>
      <c r="H647" s="2">
        <v>4581</v>
      </c>
      <c r="I647" s="9" t="inlineStr">
        <is>
          <t xml:space="preserve">+</t>
        </is>
      </c>
      <c r="J647" s="4">
        <v>2.067</v>
      </c>
    </row>
    <row r="648">
      <c r="A648" s="6" t="inlineStr">
        <is>
          <t xml:space="preserve">HRD-177-26S052587</t>
        </is>
      </c>
      <c r="B648" s="7" t="inlineStr">
        <is>
          <t xml:space="preserve">HRD-177-26S052587</t>
        </is>
      </c>
      <c r="C648" s="7" t="inlineStr">
        <is>
          <t xml:space="preserve">AHL3NVDRX7_1</t>
        </is>
      </c>
      <c r="D648" s="19" t="inlineStr">
        <is>
          <t xml:space="preserve">W0655_FANCL_E12</t>
        </is>
      </c>
      <c r="E648" s="2">
        <v>5531</v>
      </c>
      <c r="F648" s="20" t="inlineStr">
        <is>
          <t xml:space="preserve">+</t>
        </is>
      </c>
      <c r="G648" s="4">
        <v>1.818</v>
      </c>
      <c r="H648" s="2">
        <v>4114</v>
      </c>
      <c r="I648" s="9" t="inlineStr">
        <is>
          <t xml:space="preserve">+</t>
        </is>
      </c>
      <c r="J648" s="4">
        <v>1.856</v>
      </c>
    </row>
    <row r="649">
      <c r="A649" s="6" t="inlineStr">
        <is>
          <t xml:space="preserve">HRD-177-26S052587</t>
        </is>
      </c>
      <c r="B649" s="7" t="inlineStr">
        <is>
          <t xml:space="preserve">HRD-177-26S052587</t>
        </is>
      </c>
      <c r="C649" s="7" t="inlineStr">
        <is>
          <t xml:space="preserve">AHL3NVDRX7_1</t>
        </is>
      </c>
      <c r="D649" s="19" t="inlineStr">
        <is>
          <t xml:space="preserve">W0656_FANCL_E10-11</t>
        </is>
      </c>
      <c r="E649" s="2">
        <v>2308</v>
      </c>
      <c r="F649" s="20" t="inlineStr">
        <is>
          <t xml:space="preserve">+</t>
        </is>
      </c>
      <c r="G649" s="4">
        <v>0.759</v>
      </c>
      <c r="H649" s="2">
        <v>1775</v>
      </c>
      <c r="I649" s="9" t="inlineStr">
        <is>
          <t xml:space="preserve">+</t>
        </is>
      </c>
      <c r="J649" s="4">
        <v>0.801</v>
      </c>
    </row>
    <row r="650">
      <c r="A650" s="6" t="inlineStr">
        <is>
          <t xml:space="preserve">HRD-177-26S052587</t>
        </is>
      </c>
      <c r="B650" s="7" t="inlineStr">
        <is>
          <t xml:space="preserve">HRD-177-26S052587</t>
        </is>
      </c>
      <c r="C650" s="7" t="inlineStr">
        <is>
          <t xml:space="preserve">AHL3NVDRX7_1</t>
        </is>
      </c>
      <c r="D650" s="19" t="inlineStr">
        <is>
          <t xml:space="preserve">W0657_FANCL_E10-11</t>
        </is>
      </c>
      <c r="E650" s="2">
        <v>2513</v>
      </c>
      <c r="F650" s="20" t="inlineStr">
        <is>
          <t xml:space="preserve">+</t>
        </is>
      </c>
      <c r="G650" s="4">
        <v>0.826</v>
      </c>
      <c r="H650" s="2">
        <v>1972</v>
      </c>
      <c r="I650" s="9" t="inlineStr">
        <is>
          <t xml:space="preserve">+</t>
        </is>
      </c>
      <c r="J650" s="4">
        <v>0.89</v>
      </c>
    </row>
    <row r="651">
      <c r="A651" s="6" t="inlineStr">
        <is>
          <t xml:space="preserve">HRD-177-26S052587</t>
        </is>
      </c>
      <c r="B651" s="7" t="inlineStr">
        <is>
          <t xml:space="preserve">HRD-177-26S052587</t>
        </is>
      </c>
      <c r="C651" s="7" t="inlineStr">
        <is>
          <t xml:space="preserve">AHL3NVDRX7_1</t>
        </is>
      </c>
      <c r="D651" s="19" t="inlineStr">
        <is>
          <t xml:space="preserve">W0658_FANCL_E09</t>
        </is>
      </c>
      <c r="E651" s="2">
        <v>5568</v>
      </c>
      <c r="F651" s="20" t="inlineStr">
        <is>
          <t xml:space="preserve">+</t>
        </is>
      </c>
      <c r="G651" s="4">
        <v>1.83</v>
      </c>
      <c r="H651" s="2">
        <v>4163</v>
      </c>
      <c r="I651" s="9" t="inlineStr">
        <is>
          <t xml:space="preserve">+</t>
        </is>
      </c>
      <c r="J651" s="4">
        <v>1.878</v>
      </c>
    </row>
    <row r="652">
      <c r="A652" s="6" t="inlineStr">
        <is>
          <t xml:space="preserve">HRD-177-26S052587</t>
        </is>
      </c>
      <c r="B652" s="7" t="inlineStr">
        <is>
          <t xml:space="preserve">HRD-177-26S052587</t>
        </is>
      </c>
      <c r="C652" s="7" t="inlineStr">
        <is>
          <t xml:space="preserve">AHL3NVDRX7_1</t>
        </is>
      </c>
      <c r="D652" s="19" t="inlineStr">
        <is>
          <t xml:space="preserve">W0659_FANCL_E09</t>
        </is>
      </c>
      <c r="E652" s="2">
        <v>4768</v>
      </c>
      <c r="F652" s="20" t="inlineStr">
        <is>
          <t xml:space="preserve">+</t>
        </is>
      </c>
      <c r="G652" s="4">
        <v>1.567</v>
      </c>
      <c r="H652" s="2">
        <v>3500</v>
      </c>
      <c r="I652" s="9" t="inlineStr">
        <is>
          <t xml:space="preserve">+</t>
        </is>
      </c>
      <c r="J652" s="4">
        <v>1.579</v>
      </c>
    </row>
    <row r="653">
      <c r="A653" s="6" t="inlineStr">
        <is>
          <t xml:space="preserve">HRD-177-26S052587</t>
        </is>
      </c>
      <c r="B653" s="7" t="inlineStr">
        <is>
          <t xml:space="preserve">HRD-177-26S052587</t>
        </is>
      </c>
      <c r="C653" s="7" t="inlineStr">
        <is>
          <t xml:space="preserve">AHL3NVDRX7_1</t>
        </is>
      </c>
      <c r="D653" s="19" t="inlineStr">
        <is>
          <t xml:space="preserve">W0660_FANCL_E08</t>
        </is>
      </c>
      <c r="E653" s="2">
        <v>3562</v>
      </c>
      <c r="F653" s="20" t="inlineStr">
        <is>
          <t xml:space="preserve">+</t>
        </is>
      </c>
      <c r="G653" s="4">
        <v>1.171</v>
      </c>
      <c r="H653" s="2">
        <v>2679</v>
      </c>
      <c r="I653" s="9" t="inlineStr">
        <is>
          <t xml:space="preserve">+</t>
        </is>
      </c>
      <c r="J653" s="4">
        <v>1.209</v>
      </c>
    </row>
    <row r="654">
      <c r="A654" s="6" t="inlineStr">
        <is>
          <t xml:space="preserve">HRD-177-26S052587</t>
        </is>
      </c>
      <c r="B654" s="7" t="inlineStr">
        <is>
          <t xml:space="preserve">HRD-177-26S052587</t>
        </is>
      </c>
      <c r="C654" s="7" t="inlineStr">
        <is>
          <t xml:space="preserve">AHL3NVDRX7_1</t>
        </is>
      </c>
      <c r="D654" s="19" t="inlineStr">
        <is>
          <t xml:space="preserve">W0661_FANCL_E08</t>
        </is>
      </c>
      <c r="E654" s="2">
        <v>2315</v>
      </c>
      <c r="F654" s="20" t="inlineStr">
        <is>
          <t xml:space="preserve">+</t>
        </is>
      </c>
      <c r="G654" s="4">
        <v>0.761</v>
      </c>
      <c r="H654" s="2">
        <v>1784</v>
      </c>
      <c r="I654" s="9" t="inlineStr">
        <is>
          <t xml:space="preserve">+</t>
        </is>
      </c>
      <c r="J654" s="4">
        <v>0.805</v>
      </c>
    </row>
    <row r="655">
      <c r="A655" s="6" t="inlineStr">
        <is>
          <t xml:space="preserve">HRD-177-26S052587</t>
        </is>
      </c>
      <c r="B655" s="7" t="inlineStr">
        <is>
          <t xml:space="preserve">HRD-177-26S052587</t>
        </is>
      </c>
      <c r="C655" s="7" t="inlineStr">
        <is>
          <t xml:space="preserve">AHL3NVDRX7_1</t>
        </is>
      </c>
      <c r="D655" s="19" t="inlineStr">
        <is>
          <t xml:space="preserve">W0662_FANCL_E07</t>
        </is>
      </c>
      <c r="E655" s="2">
        <v>4015</v>
      </c>
      <c r="F655" s="20" t="inlineStr">
        <is>
          <t xml:space="preserve">+</t>
        </is>
      </c>
      <c r="G655" s="4">
        <v>1.32</v>
      </c>
      <c r="H655" s="2">
        <v>3035</v>
      </c>
      <c r="I655" s="9" t="inlineStr">
        <is>
          <t xml:space="preserve">+</t>
        </is>
      </c>
      <c r="J655" s="4">
        <v>1.369</v>
      </c>
    </row>
    <row r="656">
      <c r="A656" s="6" t="inlineStr">
        <is>
          <t xml:space="preserve">HRD-177-26S052587</t>
        </is>
      </c>
      <c r="B656" s="7" t="inlineStr">
        <is>
          <t xml:space="preserve">HRD-177-26S052587</t>
        </is>
      </c>
      <c r="C656" s="7" t="inlineStr">
        <is>
          <t xml:space="preserve">AHL3NVDRX7_1</t>
        </is>
      </c>
      <c r="D656" s="19" t="inlineStr">
        <is>
          <t xml:space="preserve">W0663_FANCL_E07</t>
        </is>
      </c>
      <c r="E656" s="2">
        <v>4571</v>
      </c>
      <c r="F656" s="20" t="inlineStr">
        <is>
          <t xml:space="preserve">+</t>
        </is>
      </c>
      <c r="G656" s="4">
        <v>1.502</v>
      </c>
      <c r="H656" s="2">
        <v>3338</v>
      </c>
      <c r="I656" s="9" t="inlineStr">
        <is>
          <t xml:space="preserve">+</t>
        </is>
      </c>
      <c r="J656" s="4">
        <v>1.506</v>
      </c>
    </row>
    <row r="657">
      <c r="A657" s="6" t="inlineStr">
        <is>
          <t xml:space="preserve">HRD-177-26S052587</t>
        </is>
      </c>
      <c r="B657" s="7" t="inlineStr">
        <is>
          <t xml:space="preserve">HRD-177-26S052587</t>
        </is>
      </c>
      <c r="C657" s="7" t="inlineStr">
        <is>
          <t xml:space="preserve">AHL3NVDRX7_1</t>
        </is>
      </c>
      <c r="D657" s="19" t="inlineStr">
        <is>
          <t xml:space="preserve">W0664_FANCL_E06</t>
        </is>
      </c>
      <c r="E657" s="2">
        <v>5287</v>
      </c>
      <c r="F657" s="20" t="inlineStr">
        <is>
          <t xml:space="preserve">+</t>
        </is>
      </c>
      <c r="G657" s="4">
        <v>1.738</v>
      </c>
      <c r="H657" s="2">
        <v>3774</v>
      </c>
      <c r="I657" s="9" t="inlineStr">
        <is>
          <t xml:space="preserve">+</t>
        </is>
      </c>
      <c r="J657" s="4">
        <v>1.703</v>
      </c>
    </row>
    <row r="658">
      <c r="A658" s="6" t="inlineStr">
        <is>
          <t xml:space="preserve">HRD-177-26S052587</t>
        </is>
      </c>
      <c r="B658" s="7" t="inlineStr">
        <is>
          <t xml:space="preserve">HRD-177-26S052587</t>
        </is>
      </c>
      <c r="C658" s="7" t="inlineStr">
        <is>
          <t xml:space="preserve">AHL3NVDRX7_1</t>
        </is>
      </c>
      <c r="D658" s="19" t="inlineStr">
        <is>
          <t xml:space="preserve">W0665_FANCL_E06</t>
        </is>
      </c>
      <c r="E658" s="2">
        <v>5114</v>
      </c>
      <c r="F658" s="20" t="inlineStr">
        <is>
          <t xml:space="preserve">+</t>
        </is>
      </c>
      <c r="G658" s="4">
        <v>1.681</v>
      </c>
      <c r="H658" s="2">
        <v>3690</v>
      </c>
      <c r="I658" s="9" t="inlineStr">
        <is>
          <t xml:space="preserve">+</t>
        </is>
      </c>
      <c r="J658" s="4">
        <v>1.665</v>
      </c>
    </row>
    <row r="659">
      <c r="A659" s="6" t="inlineStr">
        <is>
          <t xml:space="preserve">HRD-177-26S052587</t>
        </is>
      </c>
      <c r="B659" s="7" t="inlineStr">
        <is>
          <t xml:space="preserve">HRD-177-26S052587</t>
        </is>
      </c>
      <c r="C659" s="7" t="inlineStr">
        <is>
          <t xml:space="preserve">AHL3NVDRX7_1</t>
        </is>
      </c>
      <c r="D659" s="19" t="inlineStr">
        <is>
          <t xml:space="preserve">W0666_FANCL_E05</t>
        </is>
      </c>
      <c r="E659" s="2">
        <v>3703</v>
      </c>
      <c r="F659" s="20" t="inlineStr">
        <is>
          <t xml:space="preserve">+</t>
        </is>
      </c>
      <c r="G659" s="4">
        <v>1.217</v>
      </c>
      <c r="H659" s="2">
        <v>2772</v>
      </c>
      <c r="I659" s="9" t="inlineStr">
        <is>
          <t xml:space="preserve">+</t>
        </is>
      </c>
      <c r="J659" s="4">
        <v>1.251</v>
      </c>
    </row>
    <row r="660">
      <c r="A660" s="6" t="inlineStr">
        <is>
          <t xml:space="preserve">HRD-177-26S052587</t>
        </is>
      </c>
      <c r="B660" s="7" t="inlineStr">
        <is>
          <t xml:space="preserve">HRD-177-26S052587</t>
        </is>
      </c>
      <c r="C660" s="7" t="inlineStr">
        <is>
          <t xml:space="preserve">AHL3NVDRX7_1</t>
        </is>
      </c>
      <c r="D660" s="19" t="inlineStr">
        <is>
          <t xml:space="preserve">W0667_FANCL_E05</t>
        </is>
      </c>
      <c r="E660" s="2">
        <v>5426</v>
      </c>
      <c r="F660" s="20" t="inlineStr">
        <is>
          <t xml:space="preserve">+</t>
        </is>
      </c>
      <c r="G660" s="4">
        <v>1.783</v>
      </c>
      <c r="H660" s="2">
        <v>3856</v>
      </c>
      <c r="I660" s="9" t="inlineStr">
        <is>
          <t xml:space="preserve">+</t>
        </is>
      </c>
      <c r="J660" s="4">
        <v>1.74</v>
      </c>
    </row>
    <row r="661">
      <c r="A661" s="6" t="inlineStr">
        <is>
          <t xml:space="preserve">HRD-177-26S052587</t>
        </is>
      </c>
      <c r="B661" s="7" t="inlineStr">
        <is>
          <t xml:space="preserve">HRD-177-26S052587</t>
        </is>
      </c>
      <c r="C661" s="7" t="inlineStr">
        <is>
          <t xml:space="preserve">AHL3NVDRX7_1</t>
        </is>
      </c>
      <c r="D661" s="19" t="inlineStr">
        <is>
          <t xml:space="preserve">W0668_FANCL_E04</t>
        </is>
      </c>
      <c r="E661" s="2">
        <v>3438</v>
      </c>
      <c r="F661" s="20" t="inlineStr">
        <is>
          <t xml:space="preserve">+</t>
        </is>
      </c>
      <c r="G661" s="4">
        <v>1.13</v>
      </c>
      <c r="H661" s="2">
        <v>2605</v>
      </c>
      <c r="I661" s="9" t="inlineStr">
        <is>
          <t xml:space="preserve">+</t>
        </is>
      </c>
      <c r="J661" s="4">
        <v>1.175</v>
      </c>
    </row>
    <row r="662">
      <c r="A662" s="6" t="inlineStr">
        <is>
          <t xml:space="preserve">HRD-177-26S052587</t>
        </is>
      </c>
      <c r="B662" s="7" t="inlineStr">
        <is>
          <t xml:space="preserve">HRD-177-26S052587</t>
        </is>
      </c>
      <c r="C662" s="7" t="inlineStr">
        <is>
          <t xml:space="preserve">AHL3NVDRX7_1</t>
        </is>
      </c>
      <c r="D662" s="19" t="inlineStr">
        <is>
          <t xml:space="preserve">W0669_FANCL_E04</t>
        </is>
      </c>
      <c r="E662" s="2">
        <v>4863</v>
      </c>
      <c r="F662" s="20" t="inlineStr">
        <is>
          <t xml:space="preserve">+</t>
        </is>
      </c>
      <c r="G662" s="4">
        <v>1.598</v>
      </c>
      <c r="H662" s="2">
        <v>3614</v>
      </c>
      <c r="I662" s="9" t="inlineStr">
        <is>
          <t xml:space="preserve">+</t>
        </is>
      </c>
      <c r="J662" s="4">
        <v>1.63</v>
      </c>
    </row>
    <row r="663">
      <c r="A663" s="6" t="inlineStr">
        <is>
          <t xml:space="preserve">HRD-177-26S052587</t>
        </is>
      </c>
      <c r="B663" s="7" t="inlineStr">
        <is>
          <t xml:space="preserve">HRD-177-26S052587</t>
        </is>
      </c>
      <c r="C663" s="7" t="inlineStr">
        <is>
          <t xml:space="preserve">AHL3NVDRX7_1</t>
        </is>
      </c>
      <c r="D663" s="19" t="inlineStr">
        <is>
          <t xml:space="preserve">W0670_FANCL_E03</t>
        </is>
      </c>
      <c r="E663" s="2">
        <v>4977</v>
      </c>
      <c r="F663" s="20" t="inlineStr">
        <is>
          <t xml:space="preserve">+</t>
        </is>
      </c>
      <c r="G663" s="4">
        <v>1.636</v>
      </c>
      <c r="H663" s="2">
        <v>3698</v>
      </c>
      <c r="I663" s="9" t="inlineStr">
        <is>
          <t xml:space="preserve">+</t>
        </is>
      </c>
      <c r="J663" s="4">
        <v>1.668</v>
      </c>
    </row>
    <row r="664">
      <c r="A664" s="6" t="inlineStr">
        <is>
          <t xml:space="preserve">HRD-177-26S052587</t>
        </is>
      </c>
      <c r="B664" s="7" t="inlineStr">
        <is>
          <t xml:space="preserve">HRD-177-26S052587</t>
        </is>
      </c>
      <c r="C664" s="7" t="inlineStr">
        <is>
          <t xml:space="preserve">AHL3NVDRX7_1</t>
        </is>
      </c>
      <c r="D664" s="19" t="inlineStr">
        <is>
          <t xml:space="preserve">W0671_FANCL_E03</t>
        </is>
      </c>
      <c r="E664" s="2">
        <v>4146</v>
      </c>
      <c r="F664" s="20" t="inlineStr">
        <is>
          <t xml:space="preserve">+</t>
        </is>
      </c>
      <c r="G664" s="4">
        <v>1.363</v>
      </c>
      <c r="H664" s="2">
        <v>3029</v>
      </c>
      <c r="I664" s="9" t="inlineStr">
        <is>
          <t xml:space="preserve">+</t>
        </is>
      </c>
      <c r="J664" s="4">
        <v>1.366</v>
      </c>
    </row>
    <row r="665">
      <c r="A665" s="6" t="inlineStr">
        <is>
          <t xml:space="preserve">HRD-177-26S052587</t>
        </is>
      </c>
      <c r="B665" s="7" t="inlineStr">
        <is>
          <t xml:space="preserve">HRD-177-26S052587</t>
        </is>
      </c>
      <c r="C665" s="7" t="inlineStr">
        <is>
          <t xml:space="preserve">AHL3NVDRX7_1</t>
        </is>
      </c>
      <c r="D665" s="19" t="inlineStr">
        <is>
          <t xml:space="preserve">W0672_FANCL_E02</t>
        </is>
      </c>
      <c r="E665" s="2">
        <v>6126</v>
      </c>
      <c r="F665" s="20" t="inlineStr">
        <is>
          <t xml:space="preserve">+</t>
        </is>
      </c>
      <c r="G665" s="4">
        <v>2.013</v>
      </c>
      <c r="H665" s="2">
        <v>4416</v>
      </c>
      <c r="I665" s="9" t="inlineStr">
        <is>
          <t xml:space="preserve">+</t>
        </is>
      </c>
      <c r="J665" s="4">
        <v>1.992</v>
      </c>
    </row>
    <row r="666">
      <c r="A666" s="6" t="inlineStr">
        <is>
          <t xml:space="preserve">HRD-177-26S052587</t>
        </is>
      </c>
      <c r="B666" s="7" t="inlineStr">
        <is>
          <t xml:space="preserve">HRD-177-26S052587</t>
        </is>
      </c>
      <c r="C666" s="7" t="inlineStr">
        <is>
          <t xml:space="preserve">AHL3NVDRX7_1</t>
        </is>
      </c>
      <c r="D666" s="19" t="inlineStr">
        <is>
          <t xml:space="preserve">W0673_FANCL_E02</t>
        </is>
      </c>
      <c r="E666" s="2">
        <v>4476</v>
      </c>
      <c r="F666" s="20" t="inlineStr">
        <is>
          <t xml:space="preserve">+</t>
        </is>
      </c>
      <c r="G666" s="4">
        <v>1.471</v>
      </c>
      <c r="H666" s="2">
        <v>3312</v>
      </c>
      <c r="I666" s="9" t="inlineStr">
        <is>
          <t xml:space="preserve">+</t>
        </is>
      </c>
      <c r="J666" s="4">
        <v>1.494</v>
      </c>
    </row>
    <row r="667">
      <c r="A667" s="6" t="inlineStr">
        <is>
          <t xml:space="preserve">HRD-177-26S052587</t>
        </is>
      </c>
      <c r="B667" s="7" t="inlineStr">
        <is>
          <t xml:space="preserve">HRD-177-26S052587</t>
        </is>
      </c>
      <c r="C667" s="7" t="inlineStr">
        <is>
          <t xml:space="preserve">AHL3NVDRX7_1</t>
        </is>
      </c>
      <c r="D667" s="19" t="inlineStr">
        <is>
          <t xml:space="preserve">W0674_FANCL_E01</t>
        </is>
      </c>
      <c r="E667" s="2">
        <v>2185</v>
      </c>
      <c r="F667" s="20" t="inlineStr">
        <is>
          <t xml:space="preserve">+</t>
        </is>
      </c>
      <c r="G667" s="4">
        <v>0.718</v>
      </c>
      <c r="H667" s="2">
        <v>1578</v>
      </c>
      <c r="I667" s="9" t="inlineStr">
        <is>
          <t xml:space="preserve">+</t>
        </is>
      </c>
      <c r="J667" s="4">
        <v>0.712</v>
      </c>
    </row>
    <row r="668">
      <c r="A668" s="6" t="inlineStr">
        <is>
          <t xml:space="preserve">HRD-177-26S052587</t>
        </is>
      </c>
      <c r="B668" s="7" t="inlineStr">
        <is>
          <t xml:space="preserve">HRD-177-26S052587</t>
        </is>
      </c>
      <c r="C668" s="7" t="inlineStr">
        <is>
          <t xml:space="preserve">AHL3NVDRX7_1</t>
        </is>
      </c>
      <c r="D668" s="19" t="inlineStr">
        <is>
          <t xml:space="preserve">W0675_FANCL_E01</t>
        </is>
      </c>
      <c r="E668" s="2">
        <v>3069</v>
      </c>
      <c r="F668" s="20" t="inlineStr">
        <is>
          <t xml:space="preserve">+</t>
        </is>
      </c>
      <c r="G668" s="4">
        <v>1.009</v>
      </c>
      <c r="H668" s="2">
        <v>2149</v>
      </c>
      <c r="I668" s="9" t="inlineStr">
        <is>
          <t xml:space="preserve">+</t>
        </is>
      </c>
      <c r="J668" s="4">
        <v>0.969</v>
      </c>
    </row>
    <row r="669">
      <c r="A669" s="6" t="inlineStr">
        <is>
          <t xml:space="preserve">HRD-177-26S052587</t>
        </is>
      </c>
      <c r="B669" s="7" t="inlineStr">
        <is>
          <t xml:space="preserve">HRD-177-26S052587</t>
        </is>
      </c>
      <c r="C669" s="7" t="inlineStr">
        <is>
          <t xml:space="preserve">AHL3NVDRX7_1</t>
        </is>
      </c>
      <c r="D669" s="19" t="inlineStr">
        <is>
          <t xml:space="preserve">W0676_HDAC2_E14</t>
        </is>
      </c>
      <c r="E669" s="2">
        <v>2755</v>
      </c>
      <c r="F669" s="20" t="inlineStr">
        <is>
          <t xml:space="preserve">+</t>
        </is>
      </c>
      <c r="G669" s="4">
        <v>0.905</v>
      </c>
      <c r="H669" s="2">
        <v>2091</v>
      </c>
      <c r="I669" s="9" t="inlineStr">
        <is>
          <t xml:space="preserve">+</t>
        </is>
      </c>
      <c r="J669" s="4">
        <v>0.943</v>
      </c>
    </row>
    <row r="670">
      <c r="A670" s="6" t="inlineStr">
        <is>
          <t xml:space="preserve">HRD-177-26S052587</t>
        </is>
      </c>
      <c r="B670" s="7" t="inlineStr">
        <is>
          <t xml:space="preserve">HRD-177-26S052587</t>
        </is>
      </c>
      <c r="C670" s="7" t="inlineStr">
        <is>
          <t xml:space="preserve">AHL3NVDRX7_1</t>
        </is>
      </c>
      <c r="D670" s="19" t="inlineStr">
        <is>
          <t xml:space="preserve">W0677_HDAC2_E13</t>
        </is>
      </c>
      <c r="E670" s="2">
        <v>6007</v>
      </c>
      <c r="F670" s="20" t="inlineStr">
        <is>
          <t xml:space="preserve">+</t>
        </is>
      </c>
      <c r="G670" s="4">
        <v>1.974</v>
      </c>
      <c r="H670" s="2">
        <v>4108</v>
      </c>
      <c r="I670" s="9" t="inlineStr">
        <is>
          <t xml:space="preserve">+</t>
        </is>
      </c>
      <c r="J670" s="4">
        <v>1.853</v>
      </c>
    </row>
    <row r="671">
      <c r="A671" s="6" t="inlineStr">
        <is>
          <t xml:space="preserve">HRD-177-26S052587</t>
        </is>
      </c>
      <c r="B671" s="7" t="inlineStr">
        <is>
          <t xml:space="preserve">HRD-177-26S052587</t>
        </is>
      </c>
      <c r="C671" s="7" t="inlineStr">
        <is>
          <t xml:space="preserve">AHL3NVDRX7_1</t>
        </is>
      </c>
      <c r="D671" s="19" t="inlineStr">
        <is>
          <t xml:space="preserve">W0678_HDAC2_E13</t>
        </is>
      </c>
      <c r="E671" s="2">
        <v>2804</v>
      </c>
      <c r="F671" s="20" t="inlineStr">
        <is>
          <t xml:space="preserve">+</t>
        </is>
      </c>
      <c r="G671" s="4">
        <v>0.922</v>
      </c>
      <c r="H671" s="2">
        <v>2099</v>
      </c>
      <c r="I671" s="9" t="inlineStr">
        <is>
          <t xml:space="preserve">+</t>
        </is>
      </c>
      <c r="J671" s="4">
        <v>0.947</v>
      </c>
    </row>
    <row r="672">
      <c r="A672" s="6" t="inlineStr">
        <is>
          <t xml:space="preserve">HRD-177-26S052587</t>
        </is>
      </c>
      <c r="B672" s="7" t="inlineStr">
        <is>
          <t xml:space="preserve">HRD-177-26S052587</t>
        </is>
      </c>
      <c r="C672" s="7" t="inlineStr">
        <is>
          <t xml:space="preserve">AHL3NVDRX7_1</t>
        </is>
      </c>
      <c r="D672" s="19" t="inlineStr">
        <is>
          <t xml:space="preserve">W0679_HDAC2_E12</t>
        </is>
      </c>
      <c r="E672" s="2">
        <v>948</v>
      </c>
      <c r="F672" s="20" t="inlineStr">
        <is>
          <t xml:space="preserve">+</t>
        </is>
      </c>
      <c r="G672" s="4">
        <v>0.312</v>
      </c>
      <c r="H672" s="2">
        <v>739</v>
      </c>
      <c r="I672" s="9" t="inlineStr">
        <is>
          <t xml:space="preserve">+</t>
        </is>
      </c>
      <c r="J672" s="4">
        <v>0.333</v>
      </c>
    </row>
    <row r="673">
      <c r="A673" s="6" t="inlineStr">
        <is>
          <t xml:space="preserve">HRD-177-26S052587</t>
        </is>
      </c>
      <c r="B673" s="7" t="inlineStr">
        <is>
          <t xml:space="preserve">HRD-177-26S052587</t>
        </is>
      </c>
      <c r="C673" s="7" t="inlineStr">
        <is>
          <t xml:space="preserve">AHL3NVDRX7_1</t>
        </is>
      </c>
      <c r="D673" s="19" t="inlineStr">
        <is>
          <t xml:space="preserve">W0680_HDAC2_E12</t>
        </is>
      </c>
      <c r="E673" s="2">
        <v>4334</v>
      </c>
      <c r="F673" s="20" t="inlineStr">
        <is>
          <t xml:space="preserve">+</t>
        </is>
      </c>
      <c r="G673" s="4">
        <v>1.424</v>
      </c>
      <c r="H673" s="2">
        <v>3208</v>
      </c>
      <c r="I673" s="9" t="inlineStr">
        <is>
          <t xml:space="preserve">+</t>
        </is>
      </c>
      <c r="J673" s="4">
        <v>1.447</v>
      </c>
    </row>
    <row r="674">
      <c r="A674" s="6" t="inlineStr">
        <is>
          <t xml:space="preserve">HRD-177-26S052587</t>
        </is>
      </c>
      <c r="B674" s="7" t="inlineStr">
        <is>
          <t xml:space="preserve">HRD-177-26S052587</t>
        </is>
      </c>
      <c r="C674" s="7" t="inlineStr">
        <is>
          <t xml:space="preserve">AHL3NVDRX7_1</t>
        </is>
      </c>
      <c r="D674" s="19" t="inlineStr">
        <is>
          <t xml:space="preserve">W0681_HDAC2_E11</t>
        </is>
      </c>
      <c r="E674" s="2">
        <v>3271</v>
      </c>
      <c r="F674" s="20" t="inlineStr">
        <is>
          <t xml:space="preserve">+</t>
        </is>
      </c>
      <c r="G674" s="4">
        <v>1.075</v>
      </c>
      <c r="H674" s="2">
        <v>2452</v>
      </c>
      <c r="I674" s="9" t="inlineStr">
        <is>
          <t xml:space="preserve">+</t>
        </is>
      </c>
      <c r="J674" s="4">
        <v>1.106</v>
      </c>
    </row>
    <row r="675">
      <c r="A675" s="6" t="inlineStr">
        <is>
          <t xml:space="preserve">HRD-177-26S052587</t>
        </is>
      </c>
      <c r="B675" s="7" t="inlineStr">
        <is>
          <t xml:space="preserve">HRD-177-26S052587</t>
        </is>
      </c>
      <c r="C675" s="7" t="inlineStr">
        <is>
          <t xml:space="preserve">AHL3NVDRX7_1</t>
        </is>
      </c>
      <c r="D675" s="19" t="inlineStr">
        <is>
          <t xml:space="preserve">W0682_HDAC2_E11</t>
        </is>
      </c>
      <c r="E675" s="2">
        <v>2989</v>
      </c>
      <c r="F675" s="20" t="inlineStr">
        <is>
          <t xml:space="preserve">+</t>
        </is>
      </c>
      <c r="G675" s="4">
        <v>0.982</v>
      </c>
      <c r="H675" s="2">
        <v>2184</v>
      </c>
      <c r="I675" s="9" t="inlineStr">
        <is>
          <t xml:space="preserve">+</t>
        </is>
      </c>
      <c r="J675" s="4">
        <v>0.985</v>
      </c>
    </row>
    <row r="676">
      <c r="A676" s="6" t="inlineStr">
        <is>
          <t xml:space="preserve">HRD-177-26S052587</t>
        </is>
      </c>
      <c r="B676" s="7" t="inlineStr">
        <is>
          <t xml:space="preserve">HRD-177-26S052587</t>
        </is>
      </c>
      <c r="C676" s="7" t="inlineStr">
        <is>
          <t xml:space="preserve">AHL3NVDRX7_1</t>
        </is>
      </c>
      <c r="D676" s="19" t="inlineStr">
        <is>
          <t xml:space="preserve">W0683_HDAC2_E10</t>
        </is>
      </c>
      <c r="E676" s="2">
        <v>3897</v>
      </c>
      <c r="F676" s="20" t="inlineStr">
        <is>
          <t xml:space="preserve">+</t>
        </is>
      </c>
      <c r="G676" s="4">
        <v>1.281</v>
      </c>
      <c r="H676" s="2">
        <v>2899</v>
      </c>
      <c r="I676" s="9" t="inlineStr">
        <is>
          <t xml:space="preserve">+</t>
        </is>
      </c>
      <c r="J676" s="4">
        <v>1.308</v>
      </c>
    </row>
    <row r="677">
      <c r="A677" s="6" t="inlineStr">
        <is>
          <t xml:space="preserve">HRD-177-26S052587</t>
        </is>
      </c>
      <c r="B677" s="7" t="inlineStr">
        <is>
          <t xml:space="preserve">HRD-177-26S052587</t>
        </is>
      </c>
      <c r="C677" s="7" t="inlineStr">
        <is>
          <t xml:space="preserve">AHL3NVDRX7_1</t>
        </is>
      </c>
      <c r="D677" s="19" t="inlineStr">
        <is>
          <t xml:space="preserve">W0684_HDAC2_E10</t>
        </is>
      </c>
      <c r="E677" s="2">
        <v>3902</v>
      </c>
      <c r="F677" s="20" t="inlineStr">
        <is>
          <t xml:space="preserve">+</t>
        </is>
      </c>
      <c r="G677" s="4">
        <v>1.282</v>
      </c>
      <c r="H677" s="2">
        <v>2864</v>
      </c>
      <c r="I677" s="9" t="inlineStr">
        <is>
          <t xml:space="preserve">+</t>
        </is>
      </c>
      <c r="J677" s="4">
        <v>1.292</v>
      </c>
    </row>
    <row r="678">
      <c r="A678" s="6" t="inlineStr">
        <is>
          <t xml:space="preserve">HRD-177-26S052587</t>
        </is>
      </c>
      <c r="B678" s="7" t="inlineStr">
        <is>
          <t xml:space="preserve">HRD-177-26S052587</t>
        </is>
      </c>
      <c r="C678" s="7" t="inlineStr">
        <is>
          <t xml:space="preserve">AHL3NVDRX7_1</t>
        </is>
      </c>
      <c r="D678" s="19" t="inlineStr">
        <is>
          <t xml:space="preserve">W0685_HDAC2_E09</t>
        </is>
      </c>
      <c r="E678" s="2">
        <v>4113</v>
      </c>
      <c r="F678" s="20" t="inlineStr">
        <is>
          <t xml:space="preserve">+</t>
        </is>
      </c>
      <c r="G678" s="4">
        <v>1.352</v>
      </c>
      <c r="H678" s="2">
        <v>2924</v>
      </c>
      <c r="I678" s="9" t="inlineStr">
        <is>
          <t xml:space="preserve">+</t>
        </is>
      </c>
      <c r="J678" s="4">
        <v>1.319</v>
      </c>
    </row>
    <row r="679">
      <c r="A679" s="6" t="inlineStr">
        <is>
          <t xml:space="preserve">HRD-177-26S052587</t>
        </is>
      </c>
      <c r="B679" s="7" t="inlineStr">
        <is>
          <t xml:space="preserve">HRD-177-26S052587</t>
        </is>
      </c>
      <c r="C679" s="7" t="inlineStr">
        <is>
          <t xml:space="preserve">AHL3NVDRX7_1</t>
        </is>
      </c>
      <c r="D679" s="19" t="inlineStr">
        <is>
          <t xml:space="preserve">W0686_HDAC2_E09</t>
        </is>
      </c>
      <c r="E679" s="2">
        <v>5333</v>
      </c>
      <c r="F679" s="20" t="inlineStr">
        <is>
          <t xml:space="preserve">+</t>
        </is>
      </c>
      <c r="G679" s="4">
        <v>1.753</v>
      </c>
      <c r="H679" s="2">
        <v>3712</v>
      </c>
      <c r="I679" s="9" t="inlineStr">
        <is>
          <t xml:space="preserve">+</t>
        </is>
      </c>
      <c r="J679" s="4">
        <v>1.675</v>
      </c>
    </row>
    <row r="680">
      <c r="A680" s="6" t="inlineStr">
        <is>
          <t xml:space="preserve">HRD-177-26S052587</t>
        </is>
      </c>
      <c r="B680" s="7" t="inlineStr">
        <is>
          <t xml:space="preserve">HRD-177-26S052587</t>
        </is>
      </c>
      <c r="C680" s="7" t="inlineStr">
        <is>
          <t xml:space="preserve">AHL3NVDRX7_1</t>
        </is>
      </c>
      <c r="D680" s="19" t="inlineStr">
        <is>
          <t xml:space="preserve">W0687_HDAC2_E08-07</t>
        </is>
      </c>
      <c r="E680" s="2">
        <v>2308</v>
      </c>
      <c r="F680" s="20" t="inlineStr">
        <is>
          <t xml:space="preserve">+</t>
        </is>
      </c>
      <c r="G680" s="4">
        <v>0.759</v>
      </c>
      <c r="H680" s="2">
        <v>1757</v>
      </c>
      <c r="I680" s="9" t="inlineStr">
        <is>
          <t xml:space="preserve">+</t>
        </is>
      </c>
      <c r="J680" s="4">
        <v>0.793</v>
      </c>
    </row>
    <row r="681">
      <c r="A681" s="6" t="inlineStr">
        <is>
          <t xml:space="preserve">HRD-177-26S052587</t>
        </is>
      </c>
      <c r="B681" s="7" t="inlineStr">
        <is>
          <t xml:space="preserve">HRD-177-26S052587</t>
        </is>
      </c>
      <c r="C681" s="7" t="inlineStr">
        <is>
          <t xml:space="preserve">AHL3NVDRX7_1</t>
        </is>
      </c>
      <c r="D681" s="19" t="inlineStr">
        <is>
          <t xml:space="preserve">W0688_HDAC2_E08-07</t>
        </is>
      </c>
      <c r="E681" s="2">
        <v>3700</v>
      </c>
      <c r="F681" s="20" t="inlineStr">
        <is>
          <t xml:space="preserve">+</t>
        </is>
      </c>
      <c r="G681" s="4">
        <v>1.216</v>
      </c>
      <c r="H681" s="2">
        <v>2628</v>
      </c>
      <c r="I681" s="9" t="inlineStr">
        <is>
          <t xml:space="preserve">+</t>
        </is>
      </c>
      <c r="J681" s="4">
        <v>1.186</v>
      </c>
    </row>
    <row r="682">
      <c r="A682" s="6" t="inlineStr">
        <is>
          <t xml:space="preserve">HRD-177-26S052587</t>
        </is>
      </c>
      <c r="B682" s="7" t="inlineStr">
        <is>
          <t xml:space="preserve">HRD-177-26S052587</t>
        </is>
      </c>
      <c r="C682" s="7" t="inlineStr">
        <is>
          <t xml:space="preserve">AHL3NVDRX7_1</t>
        </is>
      </c>
      <c r="D682" s="19" t="inlineStr">
        <is>
          <t xml:space="preserve">W0689_HDAC2_E08-07</t>
        </is>
      </c>
      <c r="E682" s="2">
        <v>1273</v>
      </c>
      <c r="F682" s="20" t="inlineStr">
        <is>
          <t xml:space="preserve">+</t>
        </is>
      </c>
      <c r="G682" s="4">
        <v>0.418</v>
      </c>
      <c r="H682" s="2">
        <v>993</v>
      </c>
      <c r="I682" s="9" t="inlineStr">
        <is>
          <t xml:space="preserve">+</t>
        </is>
      </c>
      <c r="J682" s="4">
        <v>0.448</v>
      </c>
    </row>
    <row r="683">
      <c r="A683" s="6" t="inlineStr">
        <is>
          <t xml:space="preserve">HRD-177-26S052587</t>
        </is>
      </c>
      <c r="B683" s="7" t="inlineStr">
        <is>
          <t xml:space="preserve">HRD-177-26S052587</t>
        </is>
      </c>
      <c r="C683" s="7" t="inlineStr">
        <is>
          <t xml:space="preserve">AHL3NVDRX7_1</t>
        </is>
      </c>
      <c r="D683" s="19" t="inlineStr">
        <is>
          <t xml:space="preserve">W0690_HDAC2_E06</t>
        </is>
      </c>
      <c r="E683" s="2">
        <v>3325</v>
      </c>
      <c r="F683" s="20" t="inlineStr">
        <is>
          <t xml:space="preserve">+</t>
        </is>
      </c>
      <c r="G683" s="4">
        <v>1.093</v>
      </c>
      <c r="H683" s="2">
        <v>2511</v>
      </c>
      <c r="I683" s="9" t="inlineStr">
        <is>
          <t xml:space="preserve">+</t>
        </is>
      </c>
      <c r="J683" s="4">
        <v>1.133</v>
      </c>
    </row>
    <row r="684">
      <c r="A684" s="6" t="inlineStr">
        <is>
          <t xml:space="preserve">HRD-177-26S052587</t>
        </is>
      </c>
      <c r="B684" s="7" t="inlineStr">
        <is>
          <t xml:space="preserve">HRD-177-26S052587</t>
        </is>
      </c>
      <c r="C684" s="7" t="inlineStr">
        <is>
          <t xml:space="preserve">AHL3NVDRX7_1</t>
        </is>
      </c>
      <c r="D684" s="19" t="inlineStr">
        <is>
          <t xml:space="preserve">W0691_HDAC2_E06</t>
        </is>
      </c>
      <c r="E684" s="2">
        <v>3071</v>
      </c>
      <c r="F684" s="20" t="inlineStr">
        <is>
          <t xml:space="preserve">+</t>
        </is>
      </c>
      <c r="G684" s="4">
        <v>1.009</v>
      </c>
      <c r="H684" s="2">
        <v>2258</v>
      </c>
      <c r="I684" s="9" t="inlineStr">
        <is>
          <t xml:space="preserve">+</t>
        </is>
      </c>
      <c r="J684" s="4">
        <v>1.019</v>
      </c>
    </row>
    <row r="685">
      <c r="A685" s="6" t="inlineStr">
        <is>
          <t xml:space="preserve">HRD-177-26S052587</t>
        </is>
      </c>
      <c r="B685" s="7" t="inlineStr">
        <is>
          <t xml:space="preserve">HRD-177-26S052587</t>
        </is>
      </c>
      <c r="C685" s="7" t="inlineStr">
        <is>
          <t xml:space="preserve">AHL3NVDRX7_1</t>
        </is>
      </c>
      <c r="D685" s="19" t="inlineStr">
        <is>
          <t xml:space="preserve">W0692_HDAC2_E05</t>
        </is>
      </c>
      <c r="E685" s="2">
        <v>1986</v>
      </c>
      <c r="F685" s="20" t="inlineStr">
        <is>
          <t xml:space="preserve">+</t>
        </is>
      </c>
      <c r="G685" s="4">
        <v>0.653</v>
      </c>
      <c r="H685" s="2">
        <v>1526</v>
      </c>
      <c r="I685" s="9" t="inlineStr">
        <is>
          <t xml:space="preserve">+</t>
        </is>
      </c>
      <c r="J685" s="4">
        <v>0.688</v>
      </c>
    </row>
    <row r="686">
      <c r="A686" s="6" t="inlineStr">
        <is>
          <t xml:space="preserve">HRD-177-26S052587</t>
        </is>
      </c>
      <c r="B686" s="7" t="inlineStr">
        <is>
          <t xml:space="preserve">HRD-177-26S052587</t>
        </is>
      </c>
      <c r="C686" s="7" t="inlineStr">
        <is>
          <t xml:space="preserve">AHL3NVDRX7_1</t>
        </is>
      </c>
      <c r="D686" s="19" t="inlineStr">
        <is>
          <t xml:space="preserve">W0693_HDAC2_E05</t>
        </is>
      </c>
      <c r="E686" s="2">
        <v>3913</v>
      </c>
      <c r="F686" s="20" t="inlineStr">
        <is>
          <t xml:space="preserve">+</t>
        </is>
      </c>
      <c r="G686" s="4">
        <v>1.286</v>
      </c>
      <c r="H686" s="2">
        <v>2711</v>
      </c>
      <c r="I686" s="9" t="inlineStr">
        <is>
          <t xml:space="preserve">+</t>
        </is>
      </c>
      <c r="J686" s="4">
        <v>1.223</v>
      </c>
    </row>
    <row r="687">
      <c r="A687" s="6" t="inlineStr">
        <is>
          <t xml:space="preserve">HRD-177-26S052587</t>
        </is>
      </c>
      <c r="B687" s="7" t="inlineStr">
        <is>
          <t xml:space="preserve">HRD-177-26S052587</t>
        </is>
      </c>
      <c r="C687" s="7" t="inlineStr">
        <is>
          <t xml:space="preserve">AHL3NVDRX7_1</t>
        </is>
      </c>
      <c r="D687" s="19" t="inlineStr">
        <is>
          <t xml:space="preserve">W0694_HDAC2_E05</t>
        </is>
      </c>
      <c r="E687" s="2">
        <v>3977</v>
      </c>
      <c r="F687" s="20" t="inlineStr">
        <is>
          <t xml:space="preserve">+</t>
        </is>
      </c>
      <c r="G687" s="4">
        <v>1.307</v>
      </c>
      <c r="H687" s="2">
        <v>2900</v>
      </c>
      <c r="I687" s="9" t="inlineStr">
        <is>
          <t xml:space="preserve">+</t>
        </is>
      </c>
      <c r="J687" s="4">
        <v>1.308</v>
      </c>
    </row>
    <row r="688">
      <c r="A688" s="6" t="inlineStr">
        <is>
          <t xml:space="preserve">HRD-177-26S052587</t>
        </is>
      </c>
      <c r="B688" s="7" t="inlineStr">
        <is>
          <t xml:space="preserve">HRD-177-26S052587</t>
        </is>
      </c>
      <c r="C688" s="7" t="inlineStr">
        <is>
          <t xml:space="preserve">AHL3NVDRX7_1</t>
        </is>
      </c>
      <c r="D688" s="19" t="inlineStr">
        <is>
          <t xml:space="preserve">W0695_HDAC2_E04</t>
        </is>
      </c>
      <c r="E688" s="2">
        <v>3896</v>
      </c>
      <c r="F688" s="20" t="inlineStr">
        <is>
          <t xml:space="preserve">+</t>
        </is>
      </c>
      <c r="G688" s="4">
        <v>1.28</v>
      </c>
      <c r="H688" s="2">
        <v>2770</v>
      </c>
      <c r="I688" s="9" t="inlineStr">
        <is>
          <t xml:space="preserve">+</t>
        </is>
      </c>
      <c r="J688" s="4">
        <v>1.25</v>
      </c>
    </row>
    <row r="689">
      <c r="A689" s="6" t="inlineStr">
        <is>
          <t xml:space="preserve">HRD-177-26S052587</t>
        </is>
      </c>
      <c r="B689" s="7" t="inlineStr">
        <is>
          <t xml:space="preserve">HRD-177-26S052587</t>
        </is>
      </c>
      <c r="C689" s="7" t="inlineStr">
        <is>
          <t xml:space="preserve">AHL3NVDRX7_1</t>
        </is>
      </c>
      <c r="D689" s="19" t="inlineStr">
        <is>
          <t xml:space="preserve">W0696_HDAC2_E04</t>
        </is>
      </c>
      <c r="E689" s="2">
        <v>4568</v>
      </c>
      <c r="F689" s="20" t="inlineStr">
        <is>
          <t xml:space="preserve">+</t>
        </is>
      </c>
      <c r="G689" s="4">
        <v>1.501</v>
      </c>
      <c r="H689" s="2">
        <v>3194</v>
      </c>
      <c r="I689" s="9" t="inlineStr">
        <is>
          <t xml:space="preserve">+</t>
        </is>
      </c>
      <c r="J689" s="4">
        <v>1.441</v>
      </c>
    </row>
    <row r="690">
      <c r="A690" s="6" t="inlineStr">
        <is>
          <t xml:space="preserve">HRD-177-26S052587</t>
        </is>
      </c>
      <c r="B690" s="7" t="inlineStr">
        <is>
          <t xml:space="preserve">HRD-177-26S052587</t>
        </is>
      </c>
      <c r="C690" s="7" t="inlineStr">
        <is>
          <t xml:space="preserve">AHL3NVDRX7_1</t>
        </is>
      </c>
      <c r="D690" s="19" t="inlineStr">
        <is>
          <t xml:space="preserve">W0697_HDAC2_E03</t>
        </is>
      </c>
      <c r="E690" s="2">
        <v>3321</v>
      </c>
      <c r="F690" s="20" t="inlineStr">
        <is>
          <t xml:space="preserve">+</t>
        </is>
      </c>
      <c r="G690" s="4">
        <v>1.091</v>
      </c>
      <c r="H690" s="2">
        <v>2432</v>
      </c>
      <c r="I690" s="9" t="inlineStr">
        <is>
          <t xml:space="preserve">+</t>
        </is>
      </c>
      <c r="J690" s="4">
        <v>1.097</v>
      </c>
    </row>
    <row r="691">
      <c r="A691" s="6" t="inlineStr">
        <is>
          <t xml:space="preserve">HRD-177-26S052587</t>
        </is>
      </c>
      <c r="B691" s="7" t="inlineStr">
        <is>
          <t xml:space="preserve">HRD-177-26S052587</t>
        </is>
      </c>
      <c r="C691" s="7" t="inlineStr">
        <is>
          <t xml:space="preserve">AHL3NVDRX7_1</t>
        </is>
      </c>
      <c r="D691" s="19" t="inlineStr">
        <is>
          <t xml:space="preserve">W0698_HDAC2_E03</t>
        </is>
      </c>
      <c r="E691" s="2">
        <v>4130</v>
      </c>
      <c r="F691" s="20" t="inlineStr">
        <is>
          <t xml:space="preserve">+</t>
        </is>
      </c>
      <c r="G691" s="4">
        <v>1.357</v>
      </c>
      <c r="H691" s="2">
        <v>3025</v>
      </c>
      <c r="I691" s="9" t="inlineStr">
        <is>
          <t xml:space="preserve">+</t>
        </is>
      </c>
      <c r="J691" s="4">
        <v>1.365</v>
      </c>
    </row>
    <row r="692">
      <c r="A692" s="6" t="inlineStr">
        <is>
          <t xml:space="preserve">HRD-177-26S052587</t>
        </is>
      </c>
      <c r="B692" s="7" t="inlineStr">
        <is>
          <t xml:space="preserve">HRD-177-26S052587</t>
        </is>
      </c>
      <c r="C692" s="7" t="inlineStr">
        <is>
          <t xml:space="preserve">AHL3NVDRX7_1</t>
        </is>
      </c>
      <c r="D692" s="19" t="inlineStr">
        <is>
          <t xml:space="preserve">W0699_HDAC2_E02</t>
        </is>
      </c>
      <c r="E692" s="2">
        <v>2239</v>
      </c>
      <c r="F692" s="20" t="inlineStr">
        <is>
          <t xml:space="preserve">+</t>
        </is>
      </c>
      <c r="G692" s="4">
        <v>0.736</v>
      </c>
      <c r="H692" s="2">
        <v>1721</v>
      </c>
      <c r="I692" s="9" t="inlineStr">
        <is>
          <t xml:space="preserve">+</t>
        </is>
      </c>
      <c r="J692" s="4">
        <v>0.776</v>
      </c>
    </row>
    <row r="693">
      <c r="A693" s="6" t="inlineStr">
        <is>
          <t xml:space="preserve">HRD-177-26S052587</t>
        </is>
      </c>
      <c r="B693" s="7" t="inlineStr">
        <is>
          <t xml:space="preserve">HRD-177-26S052587</t>
        </is>
      </c>
      <c r="C693" s="7" t="inlineStr">
        <is>
          <t xml:space="preserve">AHL3NVDRX7_1</t>
        </is>
      </c>
      <c r="D693" s="19" t="inlineStr">
        <is>
          <t xml:space="preserve">W0700_HDAC2_E02</t>
        </is>
      </c>
      <c r="E693" s="2">
        <v>4348</v>
      </c>
      <c r="F693" s="20" t="inlineStr">
        <is>
          <t xml:space="preserve">+</t>
        </is>
      </c>
      <c r="G693" s="4">
        <v>1.429</v>
      </c>
      <c r="H693" s="2">
        <v>3157</v>
      </c>
      <c r="I693" s="9" t="inlineStr">
        <is>
          <t xml:space="preserve">+</t>
        </is>
      </c>
      <c r="J693" s="4">
        <v>1.424</v>
      </c>
    </row>
    <row r="694">
      <c r="A694" s="6" t="inlineStr">
        <is>
          <t xml:space="preserve">HRD-177-26S052587</t>
        </is>
      </c>
      <c r="B694" s="7" t="inlineStr">
        <is>
          <t xml:space="preserve">HRD-177-26S052587</t>
        </is>
      </c>
      <c r="C694" s="7" t="inlineStr">
        <is>
          <t xml:space="preserve">AHL3NVDRX7_1</t>
        </is>
      </c>
      <c r="D694" s="19" t="inlineStr">
        <is>
          <t xml:space="preserve">W0702_PALB2_E13</t>
        </is>
      </c>
      <c r="E694" s="2">
        <v>1796</v>
      </c>
      <c r="F694" s="20" t="inlineStr">
        <is>
          <t xml:space="preserve">+</t>
        </is>
      </c>
      <c r="G694" s="4">
        <v>0.59</v>
      </c>
      <c r="H694" s="2">
        <v>1383</v>
      </c>
      <c r="I694" s="9" t="inlineStr">
        <is>
          <t xml:space="preserve">+</t>
        </is>
      </c>
      <c r="J694" s="4">
        <v>0.624</v>
      </c>
    </row>
    <row r="695">
      <c r="A695" s="6" t="inlineStr">
        <is>
          <t xml:space="preserve">HRD-177-26S052587</t>
        </is>
      </c>
      <c r="B695" s="7" t="inlineStr">
        <is>
          <t xml:space="preserve">HRD-177-26S052587</t>
        </is>
      </c>
      <c r="C695" s="7" t="inlineStr">
        <is>
          <t xml:space="preserve">AHL3NVDRX7_1</t>
        </is>
      </c>
      <c r="D695" s="19" t="inlineStr">
        <is>
          <t xml:space="preserve">W0703_PALB2_E13</t>
        </is>
      </c>
      <c r="E695" s="2">
        <v>1753</v>
      </c>
      <c r="F695" s="20" t="inlineStr">
        <is>
          <t xml:space="preserve">+</t>
        </is>
      </c>
      <c r="G695" s="4">
        <v>0.576</v>
      </c>
      <c r="H695" s="2">
        <v>1362</v>
      </c>
      <c r="I695" s="9" t="inlineStr">
        <is>
          <t xml:space="preserve">+</t>
        </is>
      </c>
      <c r="J695" s="4">
        <v>0.614</v>
      </c>
    </row>
    <row r="696">
      <c r="A696" s="6" t="inlineStr">
        <is>
          <t xml:space="preserve">HRD-177-26S052587</t>
        </is>
      </c>
      <c r="B696" s="7" t="inlineStr">
        <is>
          <t xml:space="preserve">HRD-177-26S052587</t>
        </is>
      </c>
      <c r="C696" s="7" t="inlineStr">
        <is>
          <t xml:space="preserve">AHL3NVDRX7_1</t>
        </is>
      </c>
      <c r="D696" s="19" t="inlineStr">
        <is>
          <t xml:space="preserve">W0704_PALB2_E12</t>
        </is>
      </c>
      <c r="E696" s="2">
        <v>3530</v>
      </c>
      <c r="F696" s="20" t="inlineStr">
        <is>
          <t xml:space="preserve">+</t>
        </is>
      </c>
      <c r="G696" s="4">
        <v>1.16</v>
      </c>
      <c r="H696" s="2">
        <v>2516</v>
      </c>
      <c r="I696" s="9" t="inlineStr">
        <is>
          <t xml:space="preserve">+</t>
        </is>
      </c>
      <c r="J696" s="4">
        <v>1.135</v>
      </c>
    </row>
    <row r="697">
      <c r="A697" s="6" t="inlineStr">
        <is>
          <t xml:space="preserve">HRD-177-26S052587</t>
        </is>
      </c>
      <c r="B697" s="7" t="inlineStr">
        <is>
          <t xml:space="preserve">HRD-177-26S052587</t>
        </is>
      </c>
      <c r="C697" s="7" t="inlineStr">
        <is>
          <t xml:space="preserve">AHL3NVDRX7_1</t>
        </is>
      </c>
      <c r="D697" s="19" t="inlineStr">
        <is>
          <t xml:space="preserve">W0705_PALB2_E12</t>
        </is>
      </c>
      <c r="E697" s="2">
        <v>3114</v>
      </c>
      <c r="F697" s="20" t="inlineStr">
        <is>
          <t xml:space="preserve">+</t>
        </is>
      </c>
      <c r="G697" s="4">
        <v>1.023</v>
      </c>
      <c r="H697" s="2">
        <v>2284</v>
      </c>
      <c r="I697" s="9" t="inlineStr">
        <is>
          <t xml:space="preserve">+</t>
        </is>
      </c>
      <c r="J697" s="4">
        <v>1.03</v>
      </c>
    </row>
    <row r="698">
      <c r="A698" s="6" t="inlineStr">
        <is>
          <t xml:space="preserve">HRD-177-26S052587</t>
        </is>
      </c>
      <c r="B698" s="7" t="inlineStr">
        <is>
          <t xml:space="preserve">HRD-177-26S052587</t>
        </is>
      </c>
      <c r="C698" s="7" t="inlineStr">
        <is>
          <t xml:space="preserve">AHL3NVDRX7_1</t>
        </is>
      </c>
      <c r="D698" s="19" t="inlineStr">
        <is>
          <t xml:space="preserve">W0706_PALB2_E11</t>
        </is>
      </c>
      <c r="E698" s="2">
        <v>5285</v>
      </c>
      <c r="F698" s="20" t="inlineStr">
        <is>
          <t xml:space="preserve">+</t>
        </is>
      </c>
      <c r="G698" s="4">
        <v>1.737</v>
      </c>
      <c r="H698" s="2">
        <v>3563</v>
      </c>
      <c r="I698" s="9" t="inlineStr">
        <is>
          <t xml:space="preserve">+</t>
        </is>
      </c>
      <c r="J698" s="4">
        <v>1.607</v>
      </c>
    </row>
    <row r="699">
      <c r="A699" s="6" t="inlineStr">
        <is>
          <t xml:space="preserve">HRD-177-26S052587</t>
        </is>
      </c>
      <c r="B699" s="7" t="inlineStr">
        <is>
          <t xml:space="preserve">HRD-177-26S052587</t>
        </is>
      </c>
      <c r="C699" s="7" t="inlineStr">
        <is>
          <t xml:space="preserve">AHL3NVDRX7_1</t>
        </is>
      </c>
      <c r="D699" s="19" t="inlineStr">
        <is>
          <t xml:space="preserve">W0707_PALB2_E11</t>
        </is>
      </c>
      <c r="E699" s="2">
        <v>3875</v>
      </c>
      <c r="F699" s="20" t="inlineStr">
        <is>
          <t xml:space="preserve">+</t>
        </is>
      </c>
      <c r="G699" s="4">
        <v>1.274</v>
      </c>
      <c r="H699" s="2">
        <v>2826</v>
      </c>
      <c r="I699" s="9" t="inlineStr">
        <is>
          <t xml:space="preserve">+</t>
        </is>
      </c>
      <c r="J699" s="4">
        <v>1.275</v>
      </c>
    </row>
    <row r="700">
      <c r="A700" s="6" t="inlineStr">
        <is>
          <t xml:space="preserve">HRD-177-26S052587</t>
        </is>
      </c>
      <c r="B700" s="7" t="inlineStr">
        <is>
          <t xml:space="preserve">HRD-177-26S052587</t>
        </is>
      </c>
      <c r="C700" s="7" t="inlineStr">
        <is>
          <t xml:space="preserve">AHL3NVDRX7_1</t>
        </is>
      </c>
      <c r="D700" s="19" t="inlineStr">
        <is>
          <t xml:space="preserve">W0708_PALB2_E10</t>
        </is>
      </c>
      <c r="E700" s="2">
        <v>3581</v>
      </c>
      <c r="F700" s="20" t="inlineStr">
        <is>
          <t xml:space="preserve">+</t>
        </is>
      </c>
      <c r="G700" s="4">
        <v>1.177</v>
      </c>
      <c r="H700" s="2">
        <v>2559</v>
      </c>
      <c r="I700" s="9" t="inlineStr">
        <is>
          <t xml:space="preserve">+</t>
        </is>
      </c>
      <c r="J700" s="4">
        <v>1.154</v>
      </c>
    </row>
    <row r="701">
      <c r="A701" s="6" t="inlineStr">
        <is>
          <t xml:space="preserve">HRD-177-26S052587</t>
        </is>
      </c>
      <c r="B701" s="7" t="inlineStr">
        <is>
          <t xml:space="preserve">HRD-177-26S052587</t>
        </is>
      </c>
      <c r="C701" s="7" t="inlineStr">
        <is>
          <t xml:space="preserve">AHL3NVDRX7_1</t>
        </is>
      </c>
      <c r="D701" s="19" t="inlineStr">
        <is>
          <t xml:space="preserve">W0709_PALB2_E10</t>
        </is>
      </c>
      <c r="E701" s="2">
        <v>4267</v>
      </c>
      <c r="F701" s="20" t="inlineStr">
        <is>
          <t xml:space="preserve">+</t>
        </is>
      </c>
      <c r="G701" s="4">
        <v>1.402</v>
      </c>
      <c r="H701" s="2">
        <v>3149</v>
      </c>
      <c r="I701" s="9" t="inlineStr">
        <is>
          <t xml:space="preserve">+</t>
        </is>
      </c>
      <c r="J701" s="4">
        <v>1.421</v>
      </c>
    </row>
    <row r="702">
      <c r="A702" s="6" t="inlineStr">
        <is>
          <t xml:space="preserve">HRD-177-26S052587</t>
        </is>
      </c>
      <c r="B702" s="7" t="inlineStr">
        <is>
          <t xml:space="preserve">HRD-177-26S052587</t>
        </is>
      </c>
      <c r="C702" s="7" t="inlineStr">
        <is>
          <t xml:space="preserve">AHL3NVDRX7_1</t>
        </is>
      </c>
      <c r="D702" s="19" t="inlineStr">
        <is>
          <t xml:space="preserve">W0710_PALB2_E09</t>
        </is>
      </c>
      <c r="E702" s="2">
        <v>2324</v>
      </c>
      <c r="F702" s="20" t="inlineStr">
        <is>
          <t xml:space="preserve">+</t>
        </is>
      </c>
      <c r="G702" s="4">
        <v>0.764</v>
      </c>
      <c r="H702" s="2">
        <v>1724</v>
      </c>
      <c r="I702" s="9" t="inlineStr">
        <is>
          <t xml:space="preserve">+</t>
        </is>
      </c>
      <c r="J702" s="4">
        <v>0.778</v>
      </c>
    </row>
    <row r="703">
      <c r="A703" s="6" t="inlineStr">
        <is>
          <t xml:space="preserve">HRD-177-26S052587</t>
        </is>
      </c>
      <c r="B703" s="7" t="inlineStr">
        <is>
          <t xml:space="preserve">HRD-177-26S052587</t>
        </is>
      </c>
      <c r="C703" s="7" t="inlineStr">
        <is>
          <t xml:space="preserve">AHL3NVDRX7_1</t>
        </is>
      </c>
      <c r="D703" s="19" t="inlineStr">
        <is>
          <t xml:space="preserve">W0711_PALB2_E09</t>
        </is>
      </c>
      <c r="E703" s="2">
        <v>3406</v>
      </c>
      <c r="F703" s="20" t="inlineStr">
        <is>
          <t xml:space="preserve">+</t>
        </is>
      </c>
      <c r="G703" s="4">
        <v>1.119</v>
      </c>
      <c r="H703" s="2">
        <v>2524</v>
      </c>
      <c r="I703" s="9" t="inlineStr">
        <is>
          <t xml:space="preserve">+</t>
        </is>
      </c>
      <c r="J703" s="4">
        <v>1.139</v>
      </c>
    </row>
    <row r="704">
      <c r="A704" s="6" t="inlineStr">
        <is>
          <t xml:space="preserve">HRD-177-26S052587</t>
        </is>
      </c>
      <c r="B704" s="7" t="inlineStr">
        <is>
          <t xml:space="preserve">HRD-177-26S052587</t>
        </is>
      </c>
      <c r="C704" s="7" t="inlineStr">
        <is>
          <t xml:space="preserve">AHL3NVDRX7_1</t>
        </is>
      </c>
      <c r="D704" s="19" t="inlineStr">
        <is>
          <t xml:space="preserve">W0712_PALB2_E08</t>
        </is>
      </c>
      <c r="E704" s="2">
        <v>5162</v>
      </c>
      <c r="F704" s="20" t="inlineStr">
        <is>
          <t xml:space="preserve">+</t>
        </is>
      </c>
      <c r="G704" s="4">
        <v>1.696</v>
      </c>
      <c r="H704" s="2">
        <v>3543</v>
      </c>
      <c r="I704" s="9" t="inlineStr">
        <is>
          <t xml:space="preserve">+</t>
        </is>
      </c>
      <c r="J704" s="4">
        <v>1.598</v>
      </c>
    </row>
    <row r="705">
      <c r="A705" s="6" t="inlineStr">
        <is>
          <t xml:space="preserve">HRD-177-26S052587</t>
        </is>
      </c>
      <c r="B705" s="7" t="inlineStr">
        <is>
          <t xml:space="preserve">HRD-177-26S052587</t>
        </is>
      </c>
      <c r="C705" s="7" t="inlineStr">
        <is>
          <t xml:space="preserve">AHL3NVDRX7_1</t>
        </is>
      </c>
      <c r="D705" s="19" t="inlineStr">
        <is>
          <t xml:space="preserve">W0713_PALB2_E08</t>
        </is>
      </c>
      <c r="E705" s="2">
        <v>5376</v>
      </c>
      <c r="F705" s="20" t="inlineStr">
        <is>
          <t xml:space="preserve">+</t>
        </is>
      </c>
      <c r="G705" s="4">
        <v>1.767</v>
      </c>
      <c r="H705" s="2">
        <v>3820</v>
      </c>
      <c r="I705" s="9" t="inlineStr">
        <is>
          <t xml:space="preserve">+</t>
        </is>
      </c>
      <c r="J705" s="4">
        <v>1.723</v>
      </c>
    </row>
    <row r="706">
      <c r="A706" s="6" t="inlineStr">
        <is>
          <t xml:space="preserve">HRD-177-26S052587</t>
        </is>
      </c>
      <c r="B706" s="7" t="inlineStr">
        <is>
          <t xml:space="preserve">HRD-177-26S052587</t>
        </is>
      </c>
      <c r="C706" s="7" t="inlineStr">
        <is>
          <t xml:space="preserve">AHL3NVDRX7_1</t>
        </is>
      </c>
      <c r="D706" s="19" t="inlineStr">
        <is>
          <t xml:space="preserve">W0714_PALB2_E07</t>
        </is>
      </c>
      <c r="E706" s="2">
        <v>2373</v>
      </c>
      <c r="F706" s="20" t="inlineStr">
        <is>
          <t xml:space="preserve">+</t>
        </is>
      </c>
      <c r="G706" s="4">
        <v>0.78</v>
      </c>
      <c r="H706" s="2">
        <v>1818</v>
      </c>
      <c r="I706" s="9" t="inlineStr">
        <is>
          <t xml:space="preserve">+</t>
        </is>
      </c>
      <c r="J706" s="4">
        <v>0.82</v>
      </c>
    </row>
    <row r="707">
      <c r="A707" s="6" t="inlineStr">
        <is>
          <t xml:space="preserve">HRD-177-26S052587</t>
        </is>
      </c>
      <c r="B707" s="7" t="inlineStr">
        <is>
          <t xml:space="preserve">HRD-177-26S052587</t>
        </is>
      </c>
      <c r="C707" s="7" t="inlineStr">
        <is>
          <t xml:space="preserve">AHL3NVDRX7_1</t>
        </is>
      </c>
      <c r="D707" s="19" t="inlineStr">
        <is>
          <t xml:space="preserve">W0715_PALB2_E07</t>
        </is>
      </c>
      <c r="E707" s="2">
        <v>4095</v>
      </c>
      <c r="F707" s="20" t="inlineStr">
        <is>
          <t xml:space="preserve">+</t>
        </is>
      </c>
      <c r="G707" s="4">
        <v>1.346</v>
      </c>
      <c r="H707" s="2">
        <v>2749</v>
      </c>
      <c r="I707" s="9" t="inlineStr">
        <is>
          <t xml:space="preserve">+</t>
        </is>
      </c>
      <c r="J707" s="4">
        <v>1.24</v>
      </c>
    </row>
    <row r="708">
      <c r="A708" s="6" t="inlineStr">
        <is>
          <t xml:space="preserve">HRD-177-26S052587</t>
        </is>
      </c>
      <c r="B708" s="7" t="inlineStr">
        <is>
          <t xml:space="preserve">HRD-177-26S052587</t>
        </is>
      </c>
      <c r="C708" s="7" t="inlineStr">
        <is>
          <t xml:space="preserve">AHL3NVDRX7_1</t>
        </is>
      </c>
      <c r="D708" s="19" t="inlineStr">
        <is>
          <t xml:space="preserve">W0716_PALB2_E06</t>
        </is>
      </c>
      <c r="E708" s="2">
        <v>4628</v>
      </c>
      <c r="F708" s="20" t="inlineStr">
        <is>
          <t xml:space="preserve">+</t>
        </is>
      </c>
      <c r="G708" s="4">
        <v>1.521</v>
      </c>
      <c r="H708" s="2">
        <v>3377</v>
      </c>
      <c r="I708" s="9" t="inlineStr">
        <is>
          <t xml:space="preserve">+</t>
        </is>
      </c>
      <c r="J708" s="4">
        <v>1.523</v>
      </c>
    </row>
    <row r="709">
      <c r="A709" s="6" t="inlineStr">
        <is>
          <t xml:space="preserve">HRD-177-26S052587</t>
        </is>
      </c>
      <c r="B709" s="7" t="inlineStr">
        <is>
          <t xml:space="preserve">HRD-177-26S052587</t>
        </is>
      </c>
      <c r="C709" s="7" t="inlineStr">
        <is>
          <t xml:space="preserve">AHL3NVDRX7_1</t>
        </is>
      </c>
      <c r="D709" s="19" t="inlineStr">
        <is>
          <t xml:space="preserve">W0717_PALB2_E06</t>
        </is>
      </c>
      <c r="E709" s="2">
        <v>6049</v>
      </c>
      <c r="F709" s="20" t="inlineStr">
        <is>
          <t xml:space="preserve">+</t>
        </is>
      </c>
      <c r="G709" s="4">
        <v>1.988</v>
      </c>
      <c r="H709" s="2">
        <v>4121</v>
      </c>
      <c r="I709" s="9" t="inlineStr">
        <is>
          <t xml:space="preserve">+</t>
        </is>
      </c>
      <c r="J709" s="4">
        <v>1.859</v>
      </c>
    </row>
    <row r="710">
      <c r="A710" s="6" t="inlineStr">
        <is>
          <t xml:space="preserve">HRD-177-26S052587</t>
        </is>
      </c>
      <c r="B710" s="7" t="inlineStr">
        <is>
          <t xml:space="preserve">HRD-177-26S052587</t>
        </is>
      </c>
      <c r="C710" s="7" t="inlineStr">
        <is>
          <t xml:space="preserve">AHL3NVDRX7_1</t>
        </is>
      </c>
      <c r="D710" s="19" t="inlineStr">
        <is>
          <t xml:space="preserve">W0718_PALB2_E05</t>
        </is>
      </c>
      <c r="E710" s="2">
        <v>1651</v>
      </c>
      <c r="F710" s="20" t="inlineStr">
        <is>
          <t xml:space="preserve">+</t>
        </is>
      </c>
      <c r="G710" s="4">
        <v>0.543</v>
      </c>
      <c r="H710" s="2">
        <v>1249</v>
      </c>
      <c r="I710" s="9" t="inlineStr">
        <is>
          <t xml:space="preserve">+</t>
        </is>
      </c>
      <c r="J710" s="4">
        <v>0.563</v>
      </c>
    </row>
    <row r="711">
      <c r="A711" s="6" t="inlineStr">
        <is>
          <t xml:space="preserve">HRD-177-26S052587</t>
        </is>
      </c>
      <c r="B711" s="7" t="inlineStr">
        <is>
          <t xml:space="preserve">HRD-177-26S052587</t>
        </is>
      </c>
      <c r="C711" s="7" t="inlineStr">
        <is>
          <t xml:space="preserve">AHL3NVDRX7_1</t>
        </is>
      </c>
      <c r="D711" s="19" t="inlineStr">
        <is>
          <t xml:space="preserve">W0719_PALB2_E05</t>
        </is>
      </c>
      <c r="E711" s="2">
        <v>2011</v>
      </c>
      <c r="F711" s="20" t="inlineStr">
        <is>
          <t xml:space="preserve">+</t>
        </is>
      </c>
      <c r="G711" s="4">
        <v>0.661</v>
      </c>
      <c r="H711" s="2">
        <v>1514</v>
      </c>
      <c r="I711" s="9" t="inlineStr">
        <is>
          <t xml:space="preserve">+</t>
        </is>
      </c>
      <c r="J711" s="4">
        <v>0.683</v>
      </c>
    </row>
    <row r="712">
      <c r="A712" s="6" t="inlineStr">
        <is>
          <t xml:space="preserve">HRD-177-26S052587</t>
        </is>
      </c>
      <c r="B712" s="7" t="inlineStr">
        <is>
          <t xml:space="preserve">HRD-177-26S052587</t>
        </is>
      </c>
      <c r="C712" s="7" t="inlineStr">
        <is>
          <t xml:space="preserve">AHL3NVDRX7_1</t>
        </is>
      </c>
      <c r="D712" s="19" t="inlineStr">
        <is>
          <t xml:space="preserve">W0720_PALB2_E05</t>
        </is>
      </c>
      <c r="E712" s="2">
        <v>1876</v>
      </c>
      <c r="F712" s="20" t="inlineStr">
        <is>
          <t xml:space="preserve">+</t>
        </is>
      </c>
      <c r="G712" s="4">
        <v>0.617</v>
      </c>
      <c r="H712" s="2">
        <v>1432</v>
      </c>
      <c r="I712" s="9" t="inlineStr">
        <is>
          <t xml:space="preserve">+</t>
        </is>
      </c>
      <c r="J712" s="4">
        <v>0.646</v>
      </c>
    </row>
    <row r="713">
      <c r="A713" s="6" t="inlineStr">
        <is>
          <t xml:space="preserve">HRD-177-26S052587</t>
        </is>
      </c>
      <c r="B713" s="7" t="inlineStr">
        <is>
          <t xml:space="preserve">HRD-177-26S052587</t>
        </is>
      </c>
      <c r="C713" s="7" t="inlineStr">
        <is>
          <t xml:space="preserve">AHL3NVDRX7_1</t>
        </is>
      </c>
      <c r="D713" s="19" t="inlineStr">
        <is>
          <t xml:space="preserve">W0721_PALB2_E05</t>
        </is>
      </c>
      <c r="E713" s="2">
        <v>1743</v>
      </c>
      <c r="F713" s="20" t="inlineStr">
        <is>
          <t xml:space="preserve">+</t>
        </is>
      </c>
      <c r="G713" s="4">
        <v>0.573</v>
      </c>
      <c r="H713" s="2">
        <v>1347</v>
      </c>
      <c r="I713" s="9" t="inlineStr">
        <is>
          <t xml:space="preserve">+</t>
        </is>
      </c>
      <c r="J713" s="4">
        <v>0.608</v>
      </c>
    </row>
    <row r="714">
      <c r="A714" s="6" t="inlineStr">
        <is>
          <t xml:space="preserve">HRD-177-26S052587</t>
        </is>
      </c>
      <c r="B714" s="7" t="inlineStr">
        <is>
          <t xml:space="preserve">HRD-177-26S052587</t>
        </is>
      </c>
      <c r="C714" s="7" t="inlineStr">
        <is>
          <t xml:space="preserve">AHL3NVDRX7_1</t>
        </is>
      </c>
      <c r="D714" s="19" t="inlineStr">
        <is>
          <t xml:space="preserve">W0722_PALB2_E05</t>
        </is>
      </c>
      <c r="E714" s="2">
        <v>1642</v>
      </c>
      <c r="F714" s="20" t="inlineStr">
        <is>
          <t xml:space="preserve">+</t>
        </is>
      </c>
      <c r="G714" s="4">
        <v>0.54</v>
      </c>
      <c r="H714" s="2">
        <v>1258</v>
      </c>
      <c r="I714" s="9" t="inlineStr">
        <is>
          <t xml:space="preserve">+</t>
        </is>
      </c>
      <c r="J714" s="4">
        <v>0.568</v>
      </c>
    </row>
    <row r="715">
      <c r="A715" s="6" t="inlineStr">
        <is>
          <t xml:space="preserve">HRD-177-26S052587</t>
        </is>
      </c>
      <c r="B715" s="7" t="inlineStr">
        <is>
          <t xml:space="preserve">HRD-177-26S052587</t>
        </is>
      </c>
      <c r="C715" s="7" t="inlineStr">
        <is>
          <t xml:space="preserve">AHL3NVDRX7_1</t>
        </is>
      </c>
      <c r="D715" s="19" t="inlineStr">
        <is>
          <t xml:space="preserve">W0723_PALB2_E05</t>
        </is>
      </c>
      <c r="E715" s="2">
        <v>1881</v>
      </c>
      <c r="F715" s="20" t="inlineStr">
        <is>
          <t xml:space="preserve">+</t>
        </is>
      </c>
      <c r="G715" s="4">
        <v>0.618</v>
      </c>
      <c r="H715" s="2">
        <v>1442</v>
      </c>
      <c r="I715" s="9" t="inlineStr">
        <is>
          <t xml:space="preserve">+</t>
        </is>
      </c>
      <c r="J715" s="4">
        <v>0.651</v>
      </c>
    </row>
    <row r="716">
      <c r="A716" s="6" t="inlineStr">
        <is>
          <t xml:space="preserve">HRD-177-26S052587</t>
        </is>
      </c>
      <c r="B716" s="7" t="inlineStr">
        <is>
          <t xml:space="preserve">HRD-177-26S052587</t>
        </is>
      </c>
      <c r="C716" s="7" t="inlineStr">
        <is>
          <t xml:space="preserve">AHL3NVDRX7_1</t>
        </is>
      </c>
      <c r="D716" s="19" t="inlineStr">
        <is>
          <t xml:space="preserve">W0724_PALB2_E04</t>
        </is>
      </c>
      <c r="E716" s="2">
        <v>2451</v>
      </c>
      <c r="F716" s="20" t="inlineStr">
        <is>
          <t xml:space="preserve">+</t>
        </is>
      </c>
      <c r="G716" s="4">
        <v>0.806</v>
      </c>
      <c r="H716" s="2">
        <v>1828</v>
      </c>
      <c r="I716" s="9" t="inlineStr">
        <is>
          <t xml:space="preserve">+</t>
        </is>
      </c>
      <c r="J716" s="4">
        <v>0.825</v>
      </c>
    </row>
    <row r="717">
      <c r="A717" s="6" t="inlineStr">
        <is>
          <t xml:space="preserve">HRD-177-26S052587</t>
        </is>
      </c>
      <c r="B717" s="7" t="inlineStr">
        <is>
          <t xml:space="preserve">HRD-177-26S052587</t>
        </is>
      </c>
      <c r="C717" s="7" t="inlineStr">
        <is>
          <t xml:space="preserve">AHL3NVDRX7_1</t>
        </is>
      </c>
      <c r="D717" s="19" t="inlineStr">
        <is>
          <t xml:space="preserve">W0725_PALB2_E04</t>
        </is>
      </c>
      <c r="E717" s="2">
        <v>1900</v>
      </c>
      <c r="F717" s="20" t="inlineStr">
        <is>
          <t xml:space="preserve">+</t>
        </is>
      </c>
      <c r="G717" s="4">
        <v>0.624</v>
      </c>
      <c r="H717" s="2">
        <v>1421</v>
      </c>
      <c r="I717" s="9" t="inlineStr">
        <is>
          <t xml:space="preserve">+</t>
        </is>
      </c>
      <c r="J717" s="4">
        <v>0.641</v>
      </c>
    </row>
    <row r="718">
      <c r="A718" s="6" t="inlineStr">
        <is>
          <t xml:space="preserve">HRD-177-26S052587</t>
        </is>
      </c>
      <c r="B718" s="7" t="inlineStr">
        <is>
          <t xml:space="preserve">HRD-177-26S052587</t>
        </is>
      </c>
      <c r="C718" s="7" t="inlineStr">
        <is>
          <t xml:space="preserve">AHL3NVDRX7_1</t>
        </is>
      </c>
      <c r="D718" s="19" t="inlineStr">
        <is>
          <t xml:space="preserve">W0726_PALB2_E04</t>
        </is>
      </c>
      <c r="E718" s="2">
        <v>1899</v>
      </c>
      <c r="F718" s="20" t="inlineStr">
        <is>
          <t xml:space="preserve">+</t>
        </is>
      </c>
      <c r="G718" s="4">
        <v>0.624</v>
      </c>
      <c r="H718" s="2">
        <v>1441</v>
      </c>
      <c r="I718" s="9" t="inlineStr">
        <is>
          <t xml:space="preserve">+</t>
        </is>
      </c>
      <c r="J718" s="4">
        <v>0.65</v>
      </c>
    </row>
    <row r="719">
      <c r="A719" s="6" t="inlineStr">
        <is>
          <t xml:space="preserve">HRD-177-26S052587</t>
        </is>
      </c>
      <c r="B719" s="7" t="inlineStr">
        <is>
          <t xml:space="preserve">HRD-177-26S052587</t>
        </is>
      </c>
      <c r="C719" s="7" t="inlineStr">
        <is>
          <t xml:space="preserve">AHL3NVDRX7_1</t>
        </is>
      </c>
      <c r="D719" s="19" t="inlineStr">
        <is>
          <t xml:space="preserve">W0727_PALB2_E04</t>
        </is>
      </c>
      <c r="E719" s="2">
        <v>2123</v>
      </c>
      <c r="F719" s="20" t="inlineStr">
        <is>
          <t xml:space="preserve">+</t>
        </is>
      </c>
      <c r="G719" s="4">
        <v>0.698</v>
      </c>
      <c r="H719" s="2">
        <v>1617</v>
      </c>
      <c r="I719" s="9" t="inlineStr">
        <is>
          <t xml:space="preserve">+</t>
        </is>
      </c>
      <c r="J719" s="4">
        <v>0.729</v>
      </c>
    </row>
    <row r="720">
      <c r="A720" s="6" t="inlineStr">
        <is>
          <t xml:space="preserve">HRD-177-26S052587</t>
        </is>
      </c>
      <c r="B720" s="7" t="inlineStr">
        <is>
          <t xml:space="preserve">HRD-177-26S052587</t>
        </is>
      </c>
      <c r="C720" s="7" t="inlineStr">
        <is>
          <t xml:space="preserve">AHL3NVDRX7_1</t>
        </is>
      </c>
      <c r="D720" s="19" t="inlineStr">
        <is>
          <t xml:space="preserve">W0728_PALB2_E04</t>
        </is>
      </c>
      <c r="E720" s="2">
        <v>2289</v>
      </c>
      <c r="F720" s="20" t="inlineStr">
        <is>
          <t xml:space="preserve">+</t>
        </is>
      </c>
      <c r="G720" s="4">
        <v>0.752</v>
      </c>
      <c r="H720" s="2">
        <v>1770</v>
      </c>
      <c r="I720" s="9" t="inlineStr">
        <is>
          <t xml:space="preserve">+</t>
        </is>
      </c>
      <c r="J720" s="4">
        <v>0.799</v>
      </c>
    </row>
    <row r="721">
      <c r="A721" s="6" t="inlineStr">
        <is>
          <t xml:space="preserve">HRD-177-26S052587</t>
        </is>
      </c>
      <c r="B721" s="7" t="inlineStr">
        <is>
          <t xml:space="preserve">HRD-177-26S052587</t>
        </is>
      </c>
      <c r="C721" s="7" t="inlineStr">
        <is>
          <t xml:space="preserve">AHL3NVDRX7_1</t>
        </is>
      </c>
      <c r="D721" s="19" t="inlineStr">
        <is>
          <t xml:space="preserve">W0729_PALB2_E04</t>
        </is>
      </c>
      <c r="E721" s="2">
        <v>2198</v>
      </c>
      <c r="F721" s="20" t="inlineStr">
        <is>
          <t xml:space="preserve">+</t>
        </is>
      </c>
      <c r="G721" s="4">
        <v>0.722</v>
      </c>
      <c r="H721" s="2">
        <v>1706</v>
      </c>
      <c r="I721" s="9" t="inlineStr">
        <is>
          <t xml:space="preserve">+</t>
        </is>
      </c>
      <c r="J721" s="4">
        <v>0.77</v>
      </c>
    </row>
    <row r="722">
      <c r="A722" s="6" t="inlineStr">
        <is>
          <t xml:space="preserve">HRD-177-26S052587</t>
        </is>
      </c>
      <c r="B722" s="7" t="inlineStr">
        <is>
          <t xml:space="preserve">HRD-177-26S052587</t>
        </is>
      </c>
      <c r="C722" s="7" t="inlineStr">
        <is>
          <t xml:space="preserve">AHL3NVDRX7_1</t>
        </is>
      </c>
      <c r="D722" s="19" t="inlineStr">
        <is>
          <t xml:space="preserve">W0730_PALB2_E04</t>
        </is>
      </c>
      <c r="E722" s="2">
        <v>3552</v>
      </c>
      <c r="F722" s="20" t="inlineStr">
        <is>
          <t xml:space="preserve">+</t>
        </is>
      </c>
      <c r="G722" s="4">
        <v>1.167</v>
      </c>
      <c r="H722" s="2">
        <v>2592</v>
      </c>
      <c r="I722" s="9" t="inlineStr">
        <is>
          <t xml:space="preserve">+</t>
        </is>
      </c>
      <c r="J722" s="4">
        <v>1.169</v>
      </c>
    </row>
    <row r="723">
      <c r="A723" s="6" t="inlineStr">
        <is>
          <t xml:space="preserve">HRD-177-26S052587</t>
        </is>
      </c>
      <c r="B723" s="7" t="inlineStr">
        <is>
          <t xml:space="preserve">HRD-177-26S052587</t>
        </is>
      </c>
      <c r="C723" s="7" t="inlineStr">
        <is>
          <t xml:space="preserve">AHL3NVDRX7_1</t>
        </is>
      </c>
      <c r="D723" s="19" t="inlineStr">
        <is>
          <t xml:space="preserve">W0731_PALB2_E04</t>
        </is>
      </c>
      <c r="E723" s="2">
        <v>3641</v>
      </c>
      <c r="F723" s="20" t="inlineStr">
        <is>
          <t xml:space="preserve">+</t>
        </is>
      </c>
      <c r="G723" s="4">
        <v>1.197</v>
      </c>
      <c r="H723" s="2">
        <v>2696</v>
      </c>
      <c r="I723" s="9" t="inlineStr">
        <is>
          <t xml:space="preserve">+</t>
        </is>
      </c>
      <c r="J723" s="4">
        <v>1.216</v>
      </c>
    </row>
    <row r="724">
      <c r="A724" s="6" t="inlineStr">
        <is>
          <t xml:space="preserve">HRD-177-26S052587</t>
        </is>
      </c>
      <c r="B724" s="7" t="inlineStr">
        <is>
          <t xml:space="preserve">HRD-177-26S052587</t>
        </is>
      </c>
      <c r="C724" s="7" t="inlineStr">
        <is>
          <t xml:space="preserve">AHL3NVDRX7_1</t>
        </is>
      </c>
      <c r="D724" s="19" t="inlineStr">
        <is>
          <t xml:space="preserve">W0732_PALB2_E04</t>
        </is>
      </c>
      <c r="E724" s="2">
        <v>1493</v>
      </c>
      <c r="F724" s="20" t="inlineStr">
        <is>
          <t xml:space="preserve">+</t>
        </is>
      </c>
      <c r="G724" s="4">
        <v>0.491</v>
      </c>
      <c r="H724" s="2">
        <v>1167</v>
      </c>
      <c r="I724" s="9" t="inlineStr">
        <is>
          <t xml:space="preserve">+</t>
        </is>
      </c>
      <c r="J724" s="4">
        <v>0.526</v>
      </c>
    </row>
    <row r="725">
      <c r="A725" s="6" t="inlineStr">
        <is>
          <t xml:space="preserve">HRD-177-26S052587</t>
        </is>
      </c>
      <c r="B725" s="7" t="inlineStr">
        <is>
          <t xml:space="preserve">HRD-177-26S052587</t>
        </is>
      </c>
      <c r="C725" s="7" t="inlineStr">
        <is>
          <t xml:space="preserve">AHL3NVDRX7_1</t>
        </is>
      </c>
      <c r="D725" s="19" t="inlineStr">
        <is>
          <t xml:space="preserve">W0733_PALB2_E04</t>
        </is>
      </c>
      <c r="E725" s="2">
        <v>1655</v>
      </c>
      <c r="F725" s="20" t="inlineStr">
        <is>
          <t xml:space="preserve">+</t>
        </is>
      </c>
      <c r="G725" s="4">
        <v>0.544</v>
      </c>
      <c r="H725" s="2">
        <v>1242</v>
      </c>
      <c r="I725" s="9" t="inlineStr">
        <is>
          <t xml:space="preserve">+</t>
        </is>
      </c>
      <c r="J725" s="4">
        <v>0.56</v>
      </c>
    </row>
    <row r="726">
      <c r="A726" s="6" t="inlineStr">
        <is>
          <t xml:space="preserve">HRD-177-26S052587</t>
        </is>
      </c>
      <c r="B726" s="7" t="inlineStr">
        <is>
          <t xml:space="preserve">HRD-177-26S052587</t>
        </is>
      </c>
      <c r="C726" s="7" t="inlineStr">
        <is>
          <t xml:space="preserve">AHL3NVDRX7_1</t>
        </is>
      </c>
      <c r="D726" s="19" t="inlineStr">
        <is>
          <t xml:space="preserve">W0734_PALB2_E04</t>
        </is>
      </c>
      <c r="E726" s="2">
        <v>1175</v>
      </c>
      <c r="F726" s="20" t="inlineStr">
        <is>
          <t xml:space="preserve">+</t>
        </is>
      </c>
      <c r="G726" s="4">
        <v>0.386</v>
      </c>
      <c r="H726" s="2">
        <v>920</v>
      </c>
      <c r="I726" s="9" t="inlineStr">
        <is>
          <t xml:space="preserve">+</t>
        </is>
      </c>
      <c r="J726" s="4">
        <v>0.415</v>
      </c>
    </row>
    <row r="727">
      <c r="A727" s="6" t="inlineStr">
        <is>
          <t xml:space="preserve">HRD-177-26S052587</t>
        </is>
      </c>
      <c r="B727" s="7" t="inlineStr">
        <is>
          <t xml:space="preserve">HRD-177-26S052587</t>
        </is>
      </c>
      <c r="C727" s="7" t="inlineStr">
        <is>
          <t xml:space="preserve">AHL3NVDRX7_1</t>
        </is>
      </c>
      <c r="D727" s="19" t="inlineStr">
        <is>
          <t xml:space="preserve">W0735_PALB2_E04</t>
        </is>
      </c>
      <c r="E727" s="2">
        <v>345</v>
      </c>
      <c r="F727" s="20" t="inlineStr">
        <is>
          <t xml:space="preserve">-</t>
        </is>
      </c>
      <c r="G727" s="4">
        <v>0.113</v>
      </c>
      <c r="H727" s="2">
        <v>277</v>
      </c>
      <c r="I727" s="9" t="inlineStr">
        <is>
          <t xml:space="preserve">-</t>
        </is>
      </c>
      <c r="J727" s="4">
        <v>0.125</v>
      </c>
    </row>
    <row r="728">
      <c r="A728" s="6" t="inlineStr">
        <is>
          <t xml:space="preserve">HRD-177-26S052587</t>
        </is>
      </c>
      <c r="B728" s="7" t="inlineStr">
        <is>
          <t xml:space="preserve">HRD-177-26S052587</t>
        </is>
      </c>
      <c r="C728" s="7" t="inlineStr">
        <is>
          <t xml:space="preserve">AHL3NVDRX7_1</t>
        </is>
      </c>
      <c r="D728" s="19" t="inlineStr">
        <is>
          <t xml:space="preserve">W0736_PALB2_E03-02</t>
        </is>
      </c>
      <c r="E728" s="2">
        <v>1928</v>
      </c>
      <c r="F728" s="20" t="inlineStr">
        <is>
          <t xml:space="preserve">+</t>
        </is>
      </c>
      <c r="G728" s="4">
        <v>0.634</v>
      </c>
      <c r="H728" s="2">
        <v>1480</v>
      </c>
      <c r="I728" s="9" t="inlineStr">
        <is>
          <t xml:space="preserve">+</t>
        </is>
      </c>
      <c r="J728" s="4">
        <v>0.668</v>
      </c>
    </row>
    <row r="729">
      <c r="A729" s="6" t="inlineStr">
        <is>
          <t xml:space="preserve">HRD-177-26S052587</t>
        </is>
      </c>
      <c r="B729" s="7" t="inlineStr">
        <is>
          <t xml:space="preserve">HRD-177-26S052587</t>
        </is>
      </c>
      <c r="C729" s="7" t="inlineStr">
        <is>
          <t xml:space="preserve">AHL3NVDRX7_1</t>
        </is>
      </c>
      <c r="D729" s="19" t="inlineStr">
        <is>
          <t xml:space="preserve">W0737_PALB2_E03-02</t>
        </is>
      </c>
      <c r="E729" s="2">
        <v>2218</v>
      </c>
      <c r="F729" s="20" t="inlineStr">
        <is>
          <t xml:space="preserve">+</t>
        </is>
      </c>
      <c r="G729" s="4">
        <v>0.729</v>
      </c>
      <c r="H729" s="2">
        <v>1678</v>
      </c>
      <c r="I729" s="9" t="inlineStr">
        <is>
          <t xml:space="preserve">+</t>
        </is>
      </c>
      <c r="J729" s="4">
        <v>0.757</v>
      </c>
    </row>
    <row r="730">
      <c r="A730" s="6" t="inlineStr">
        <is>
          <t xml:space="preserve">HRD-177-26S052587</t>
        </is>
      </c>
      <c r="B730" s="7" t="inlineStr">
        <is>
          <t xml:space="preserve">HRD-177-26S052587</t>
        </is>
      </c>
      <c r="C730" s="7" t="inlineStr">
        <is>
          <t xml:space="preserve">AHL3NVDRX7_1</t>
        </is>
      </c>
      <c r="D730" s="19" t="inlineStr">
        <is>
          <t xml:space="preserve">W0738_PALB2_E03-02</t>
        </is>
      </c>
      <c r="E730" s="2">
        <v>3740</v>
      </c>
      <c r="F730" s="20" t="inlineStr">
        <is>
          <t xml:space="preserve">+</t>
        </is>
      </c>
      <c r="G730" s="4">
        <v>1.229</v>
      </c>
      <c r="H730" s="2">
        <v>2718</v>
      </c>
      <c r="I730" s="9" t="inlineStr">
        <is>
          <t xml:space="preserve">+</t>
        </is>
      </c>
      <c r="J730" s="4">
        <v>1.226</v>
      </c>
    </row>
    <row r="731">
      <c r="A731" s="6" t="inlineStr">
        <is>
          <t xml:space="preserve">HRD-177-26S052587</t>
        </is>
      </c>
      <c r="B731" s="7" t="inlineStr">
        <is>
          <t xml:space="preserve">HRD-177-26S052587</t>
        </is>
      </c>
      <c r="C731" s="7" t="inlineStr">
        <is>
          <t xml:space="preserve">AHL3NVDRX7_1</t>
        </is>
      </c>
      <c r="D731" s="19" t="inlineStr">
        <is>
          <t xml:space="preserve">W0739_PALB2_E01</t>
        </is>
      </c>
      <c r="E731" s="2">
        <v>2484</v>
      </c>
      <c r="F731" s="20" t="inlineStr">
        <is>
          <t xml:space="preserve">+</t>
        </is>
      </c>
      <c r="G731" s="4">
        <v>0.816</v>
      </c>
      <c r="H731" s="2">
        <v>1724</v>
      </c>
      <c r="I731" s="9" t="inlineStr">
        <is>
          <t xml:space="preserve">+</t>
        </is>
      </c>
      <c r="J731" s="4">
        <v>0.778</v>
      </c>
    </row>
    <row r="732">
      <c r="A732" s="6" t="inlineStr">
        <is>
          <t xml:space="preserve">HRD-177-26S052587</t>
        </is>
      </c>
      <c r="B732" s="7" t="inlineStr">
        <is>
          <t xml:space="preserve">HRD-177-26S052587</t>
        </is>
      </c>
      <c r="C732" s="7" t="inlineStr">
        <is>
          <t xml:space="preserve">AHL3NVDRX7_1</t>
        </is>
      </c>
      <c r="D732" s="19" t="inlineStr">
        <is>
          <t xml:space="preserve">W0740_PALB2_E01</t>
        </is>
      </c>
      <c r="E732" s="2">
        <v>1953</v>
      </c>
      <c r="F732" s="20" t="inlineStr">
        <is>
          <t xml:space="preserve">+</t>
        </is>
      </c>
      <c r="G732" s="4">
        <v>0.642</v>
      </c>
      <c r="H732" s="2">
        <v>1363</v>
      </c>
      <c r="I732" s="9" t="inlineStr">
        <is>
          <t xml:space="preserve">+</t>
        </is>
      </c>
      <c r="J732" s="4">
        <v>0.615</v>
      </c>
    </row>
    <row r="733">
      <c r="A733" s="6" t="inlineStr">
        <is>
          <t xml:space="preserve">HRD-177-26S052587</t>
        </is>
      </c>
      <c r="B733" s="7" t="inlineStr">
        <is>
          <t xml:space="preserve">HRD-177-26S052587</t>
        </is>
      </c>
      <c r="C733" s="7" t="inlineStr">
        <is>
          <t xml:space="preserve">AHL3NVDRX7_1</t>
        </is>
      </c>
      <c r="D733" s="19" t="inlineStr">
        <is>
          <t xml:space="preserve">W0741_PPP2R2A_E01</t>
        </is>
      </c>
      <c r="E733" s="2">
        <v>1907</v>
      </c>
      <c r="F733" s="20" t="inlineStr">
        <is>
          <t xml:space="preserve">+</t>
        </is>
      </c>
      <c r="G733" s="4">
        <v>0.627</v>
      </c>
      <c r="H733" s="2">
        <v>1252</v>
      </c>
      <c r="I733" s="9" t="inlineStr">
        <is>
          <t xml:space="preserve">+</t>
        </is>
      </c>
      <c r="J733" s="4">
        <v>0.565</v>
      </c>
    </row>
    <row r="734">
      <c r="A734" s="6" t="inlineStr">
        <is>
          <t xml:space="preserve">HRD-177-26S052587</t>
        </is>
      </c>
      <c r="B734" s="7" t="inlineStr">
        <is>
          <t xml:space="preserve">HRD-177-26S052587</t>
        </is>
      </c>
      <c r="C734" s="7" t="inlineStr">
        <is>
          <t xml:space="preserve">AHL3NVDRX7_1</t>
        </is>
      </c>
      <c r="D734" s="19" t="inlineStr">
        <is>
          <t xml:space="preserve">W0742_PPP2R2A_E01</t>
        </is>
      </c>
      <c r="E734" s="2">
        <v>3096</v>
      </c>
      <c r="F734" s="20" t="inlineStr">
        <is>
          <t xml:space="preserve">+</t>
        </is>
      </c>
      <c r="G734" s="4">
        <v>1.017</v>
      </c>
      <c r="H734" s="2">
        <v>2030</v>
      </c>
      <c r="I734" s="9" t="inlineStr">
        <is>
          <t xml:space="preserve">+</t>
        </is>
      </c>
      <c r="J734" s="4">
        <v>0.916</v>
      </c>
    </row>
    <row r="735">
      <c r="A735" s="6" t="inlineStr">
        <is>
          <t xml:space="preserve">HRD-177-26S052587</t>
        </is>
      </c>
      <c r="B735" s="7" t="inlineStr">
        <is>
          <t xml:space="preserve">HRD-177-26S052587</t>
        </is>
      </c>
      <c r="C735" s="7" t="inlineStr">
        <is>
          <t xml:space="preserve">AHL3NVDRX7_1</t>
        </is>
      </c>
      <c r="D735" s="19" t="inlineStr">
        <is>
          <t xml:space="preserve">W0743_PPP2R2A_E02</t>
        </is>
      </c>
      <c r="E735" s="2">
        <v>4692</v>
      </c>
      <c r="F735" s="20" t="inlineStr">
        <is>
          <t xml:space="preserve">+</t>
        </is>
      </c>
      <c r="G735" s="4">
        <v>1.542</v>
      </c>
      <c r="H735" s="2">
        <v>3383</v>
      </c>
      <c r="I735" s="9" t="inlineStr">
        <is>
          <t xml:space="preserve">+</t>
        </is>
      </c>
      <c r="J735" s="4">
        <v>1.526</v>
      </c>
    </row>
    <row r="736">
      <c r="A736" s="6" t="inlineStr">
        <is>
          <t xml:space="preserve">HRD-177-26S052587</t>
        </is>
      </c>
      <c r="B736" s="7" t="inlineStr">
        <is>
          <t xml:space="preserve">HRD-177-26S052587</t>
        </is>
      </c>
      <c r="C736" s="7" t="inlineStr">
        <is>
          <t xml:space="preserve">AHL3NVDRX7_1</t>
        </is>
      </c>
      <c r="D736" s="19" t="inlineStr">
        <is>
          <t xml:space="preserve">W0744_PPP2R2A_E02</t>
        </is>
      </c>
      <c r="E736" s="2">
        <v>3351</v>
      </c>
      <c r="F736" s="20" t="inlineStr">
        <is>
          <t xml:space="preserve">+</t>
        </is>
      </c>
      <c r="G736" s="4">
        <v>1.101</v>
      </c>
      <c r="H736" s="2">
        <v>2498</v>
      </c>
      <c r="I736" s="9" t="inlineStr">
        <is>
          <t xml:space="preserve">+</t>
        </is>
      </c>
      <c r="J736" s="4">
        <v>1.127</v>
      </c>
    </row>
    <row r="737">
      <c r="A737" s="6" t="inlineStr">
        <is>
          <t xml:space="preserve">HRD-177-26S052587</t>
        </is>
      </c>
      <c r="B737" s="7" t="inlineStr">
        <is>
          <t xml:space="preserve">HRD-177-26S052587</t>
        </is>
      </c>
      <c r="C737" s="7" t="inlineStr">
        <is>
          <t xml:space="preserve">AHL3NVDRX7_1</t>
        </is>
      </c>
      <c r="D737" s="19" t="inlineStr">
        <is>
          <t xml:space="preserve">W0745_PPP2R2A_E03</t>
        </is>
      </c>
      <c r="E737" s="2">
        <v>2879</v>
      </c>
      <c r="F737" s="20" t="inlineStr">
        <is>
          <t xml:space="preserve">+</t>
        </is>
      </c>
      <c r="G737" s="4">
        <v>0.946</v>
      </c>
      <c r="H737" s="2">
        <v>2199</v>
      </c>
      <c r="I737" s="9" t="inlineStr">
        <is>
          <t xml:space="preserve">+</t>
        </is>
      </c>
      <c r="J737" s="4">
        <v>0.992</v>
      </c>
    </row>
    <row r="738">
      <c r="A738" s="6" t="inlineStr">
        <is>
          <t xml:space="preserve">HRD-177-26S052587</t>
        </is>
      </c>
      <c r="B738" s="7" t="inlineStr">
        <is>
          <t xml:space="preserve">HRD-177-26S052587</t>
        </is>
      </c>
      <c r="C738" s="7" t="inlineStr">
        <is>
          <t xml:space="preserve">AHL3NVDRX7_1</t>
        </is>
      </c>
      <c r="D738" s="19" t="inlineStr">
        <is>
          <t xml:space="preserve">W0746_PPP2R2A_E03</t>
        </is>
      </c>
      <c r="E738" s="2">
        <v>6104</v>
      </c>
      <c r="F738" s="20" t="inlineStr">
        <is>
          <t xml:space="preserve">+</t>
        </is>
      </c>
      <c r="G738" s="4">
        <v>2.006</v>
      </c>
      <c r="H738" s="2">
        <v>4302</v>
      </c>
      <c r="I738" s="9" t="inlineStr">
        <is>
          <t xml:space="preserve">+</t>
        </is>
      </c>
      <c r="J738" s="4">
        <v>1.941</v>
      </c>
    </row>
    <row r="739">
      <c r="A739" s="6" t="inlineStr">
        <is>
          <t xml:space="preserve">HRD-177-26S052587</t>
        </is>
      </c>
      <c r="B739" s="7" t="inlineStr">
        <is>
          <t xml:space="preserve">HRD-177-26S052587</t>
        </is>
      </c>
      <c r="C739" s="7" t="inlineStr">
        <is>
          <t xml:space="preserve">AHL3NVDRX7_1</t>
        </is>
      </c>
      <c r="D739" s="19" t="inlineStr">
        <is>
          <t xml:space="preserve">W0747_PPP2R2A_E04</t>
        </is>
      </c>
      <c r="E739" s="2">
        <v>1766</v>
      </c>
      <c r="F739" s="20" t="inlineStr">
        <is>
          <t xml:space="preserve">+</t>
        </is>
      </c>
      <c r="G739" s="4">
        <v>0.58</v>
      </c>
      <c r="H739" s="2">
        <v>1374</v>
      </c>
      <c r="I739" s="9" t="inlineStr">
        <is>
          <t xml:space="preserve">+</t>
        </is>
      </c>
      <c r="J739" s="4">
        <v>0.62</v>
      </c>
    </row>
    <row r="740">
      <c r="A740" s="6" t="inlineStr">
        <is>
          <t xml:space="preserve">HRD-177-26S052587</t>
        </is>
      </c>
      <c r="B740" s="7" t="inlineStr">
        <is>
          <t xml:space="preserve">HRD-177-26S052587</t>
        </is>
      </c>
      <c r="C740" s="7" t="inlineStr">
        <is>
          <t xml:space="preserve">AHL3NVDRX7_1</t>
        </is>
      </c>
      <c r="D740" s="19" t="inlineStr">
        <is>
          <t xml:space="preserve">W0748_PPP2R2A_E04</t>
        </is>
      </c>
      <c r="E740" s="2">
        <v>2136</v>
      </c>
      <c r="F740" s="20" t="inlineStr">
        <is>
          <t xml:space="preserve">+</t>
        </is>
      </c>
      <c r="G740" s="4">
        <v>0.702</v>
      </c>
      <c r="H740" s="2">
        <v>1626</v>
      </c>
      <c r="I740" s="9" t="inlineStr">
        <is>
          <t xml:space="preserve">+</t>
        </is>
      </c>
      <c r="J740" s="4">
        <v>0.734</v>
      </c>
    </row>
    <row r="741">
      <c r="A741" s="6" t="inlineStr">
        <is>
          <t xml:space="preserve">HRD-177-26S052587</t>
        </is>
      </c>
      <c r="B741" s="7" t="inlineStr">
        <is>
          <t xml:space="preserve">HRD-177-26S052587</t>
        </is>
      </c>
      <c r="C741" s="7" t="inlineStr">
        <is>
          <t xml:space="preserve">AHL3NVDRX7_1</t>
        </is>
      </c>
      <c r="D741" s="19" t="inlineStr">
        <is>
          <t xml:space="preserve">W0749_PPP2R2A_E05</t>
        </is>
      </c>
      <c r="E741" s="2">
        <v>3454</v>
      </c>
      <c r="F741" s="20" t="inlineStr">
        <is>
          <t xml:space="preserve">+</t>
        </is>
      </c>
      <c r="G741" s="4">
        <v>1.135</v>
      </c>
      <c r="H741" s="2">
        <v>2587</v>
      </c>
      <c r="I741" s="9" t="inlineStr">
        <is>
          <t xml:space="preserve">+</t>
        </is>
      </c>
      <c r="J741" s="4">
        <v>1.167</v>
      </c>
    </row>
    <row r="742">
      <c r="A742" s="6" t="inlineStr">
        <is>
          <t xml:space="preserve">HRD-177-26S052587</t>
        </is>
      </c>
      <c r="B742" s="7" t="inlineStr">
        <is>
          <t xml:space="preserve">HRD-177-26S052587</t>
        </is>
      </c>
      <c r="C742" s="7" t="inlineStr">
        <is>
          <t xml:space="preserve">AHL3NVDRX7_1</t>
        </is>
      </c>
      <c r="D742" s="19" t="inlineStr">
        <is>
          <t xml:space="preserve">W0750_PPP2R2A_E05</t>
        </is>
      </c>
      <c r="E742" s="2">
        <v>3763</v>
      </c>
      <c r="F742" s="20" t="inlineStr">
        <is>
          <t xml:space="preserve">+</t>
        </is>
      </c>
      <c r="G742" s="4">
        <v>1.237</v>
      </c>
      <c r="H742" s="2">
        <v>2766</v>
      </c>
      <c r="I742" s="9" t="inlineStr">
        <is>
          <t xml:space="preserve">+</t>
        </is>
      </c>
      <c r="J742" s="4">
        <v>1.248</v>
      </c>
    </row>
    <row r="743">
      <c r="A743" s="6" t="inlineStr">
        <is>
          <t xml:space="preserve">HRD-177-26S052587</t>
        </is>
      </c>
      <c r="B743" s="7" t="inlineStr">
        <is>
          <t xml:space="preserve">HRD-177-26S052587</t>
        </is>
      </c>
      <c r="C743" s="7" t="inlineStr">
        <is>
          <t xml:space="preserve">AHL3NVDRX7_1</t>
        </is>
      </c>
      <c r="D743" s="19" t="inlineStr">
        <is>
          <t xml:space="preserve">W0751_PPP2R2A_E06</t>
        </is>
      </c>
      <c r="E743" s="2">
        <v>2890</v>
      </c>
      <c r="F743" s="20" t="inlineStr">
        <is>
          <t xml:space="preserve">+</t>
        </is>
      </c>
      <c r="G743" s="4">
        <v>0.95</v>
      </c>
      <c r="H743" s="2">
        <v>2130</v>
      </c>
      <c r="I743" s="9" t="inlineStr">
        <is>
          <t xml:space="preserve">+</t>
        </is>
      </c>
      <c r="J743" s="4">
        <v>0.961</v>
      </c>
    </row>
    <row r="744">
      <c r="A744" s="6" t="inlineStr">
        <is>
          <t xml:space="preserve">HRD-177-26S052587</t>
        </is>
      </c>
      <c r="B744" s="7" t="inlineStr">
        <is>
          <t xml:space="preserve">HRD-177-26S052587</t>
        </is>
      </c>
      <c r="C744" s="7" t="inlineStr">
        <is>
          <t xml:space="preserve">AHL3NVDRX7_1</t>
        </is>
      </c>
      <c r="D744" s="19" t="inlineStr">
        <is>
          <t xml:space="preserve">W0752_PPP2R2A_E06</t>
        </is>
      </c>
      <c r="E744" s="2">
        <v>3208</v>
      </c>
      <c r="F744" s="20" t="inlineStr">
        <is>
          <t xml:space="preserve">+</t>
        </is>
      </c>
      <c r="G744" s="4">
        <v>1.054</v>
      </c>
      <c r="H744" s="2">
        <v>2410</v>
      </c>
      <c r="I744" s="9" t="inlineStr">
        <is>
          <t xml:space="preserve">+</t>
        </is>
      </c>
      <c r="J744" s="4">
        <v>1.087</v>
      </c>
    </row>
    <row r="745">
      <c r="A745" s="6" t="inlineStr">
        <is>
          <t xml:space="preserve">HRD-177-26S052587</t>
        </is>
      </c>
      <c r="B745" s="7" t="inlineStr">
        <is>
          <t xml:space="preserve">HRD-177-26S052587</t>
        </is>
      </c>
      <c r="C745" s="7" t="inlineStr">
        <is>
          <t xml:space="preserve">AHL3NVDRX7_1</t>
        </is>
      </c>
      <c r="D745" s="19" t="inlineStr">
        <is>
          <t xml:space="preserve">W0753_PPP2R2A_E07</t>
        </is>
      </c>
      <c r="E745" s="2">
        <v>2555</v>
      </c>
      <c r="F745" s="20" t="inlineStr">
        <is>
          <t xml:space="preserve">+</t>
        </is>
      </c>
      <c r="G745" s="4">
        <v>0.84</v>
      </c>
      <c r="H745" s="2">
        <v>1939</v>
      </c>
      <c r="I745" s="9" t="inlineStr">
        <is>
          <t xml:space="preserve">+</t>
        </is>
      </c>
      <c r="J745" s="4">
        <v>0.875</v>
      </c>
    </row>
    <row r="746">
      <c r="A746" s="6" t="inlineStr">
        <is>
          <t xml:space="preserve">HRD-177-26S052587</t>
        </is>
      </c>
      <c r="B746" s="7" t="inlineStr">
        <is>
          <t xml:space="preserve">HRD-177-26S052587</t>
        </is>
      </c>
      <c r="C746" s="7" t="inlineStr">
        <is>
          <t xml:space="preserve">AHL3NVDRX7_1</t>
        </is>
      </c>
      <c r="D746" s="19" t="inlineStr">
        <is>
          <t xml:space="preserve">W0754_PPP2R2A_E07</t>
        </is>
      </c>
      <c r="E746" s="2">
        <v>3248</v>
      </c>
      <c r="F746" s="20" t="inlineStr">
        <is>
          <t xml:space="preserve">+</t>
        </is>
      </c>
      <c r="G746" s="4">
        <v>1.067</v>
      </c>
      <c r="H746" s="2">
        <v>2352</v>
      </c>
      <c r="I746" s="9" t="inlineStr">
        <is>
          <t xml:space="preserve">+</t>
        </is>
      </c>
      <c r="J746" s="4">
        <v>1.061</v>
      </c>
    </row>
    <row r="747">
      <c r="A747" s="6" t="inlineStr">
        <is>
          <t xml:space="preserve">HRD-177-26S052587</t>
        </is>
      </c>
      <c r="B747" s="7" t="inlineStr">
        <is>
          <t xml:space="preserve">HRD-177-26S052587</t>
        </is>
      </c>
      <c r="C747" s="7" t="inlineStr">
        <is>
          <t xml:space="preserve">AHL3NVDRX7_1</t>
        </is>
      </c>
      <c r="D747" s="19" t="inlineStr">
        <is>
          <t xml:space="preserve">W0755_PPP2R2A_E08</t>
        </is>
      </c>
      <c r="E747" s="2">
        <v>2783</v>
      </c>
      <c r="F747" s="20" t="inlineStr">
        <is>
          <t xml:space="preserve">+</t>
        </is>
      </c>
      <c r="G747" s="4">
        <v>0.915</v>
      </c>
      <c r="H747" s="2">
        <v>2058</v>
      </c>
      <c r="I747" s="9" t="inlineStr">
        <is>
          <t xml:space="preserve">+</t>
        </is>
      </c>
      <c r="J747" s="4">
        <v>0.928</v>
      </c>
    </row>
    <row r="748">
      <c r="A748" s="6" t="inlineStr">
        <is>
          <t xml:space="preserve">HRD-177-26S052587</t>
        </is>
      </c>
      <c r="B748" s="7" t="inlineStr">
        <is>
          <t xml:space="preserve">HRD-177-26S052587</t>
        </is>
      </c>
      <c r="C748" s="7" t="inlineStr">
        <is>
          <t xml:space="preserve">AHL3NVDRX7_1</t>
        </is>
      </c>
      <c r="D748" s="19" t="inlineStr">
        <is>
          <t xml:space="preserve">W0756_PPP2R2A_E08</t>
        </is>
      </c>
      <c r="E748" s="2">
        <v>2936</v>
      </c>
      <c r="F748" s="20" t="inlineStr">
        <is>
          <t xml:space="preserve">+</t>
        </is>
      </c>
      <c r="G748" s="4">
        <v>0.965</v>
      </c>
      <c r="H748" s="2">
        <v>2201</v>
      </c>
      <c r="I748" s="9" t="inlineStr">
        <is>
          <t xml:space="preserve">+</t>
        </is>
      </c>
      <c r="J748" s="4">
        <v>0.993</v>
      </c>
    </row>
    <row r="749">
      <c r="A749" s="6" t="inlineStr">
        <is>
          <t xml:space="preserve">HRD-177-26S052587</t>
        </is>
      </c>
      <c r="B749" s="7" t="inlineStr">
        <is>
          <t xml:space="preserve">HRD-177-26S052587</t>
        </is>
      </c>
      <c r="C749" s="7" t="inlineStr">
        <is>
          <t xml:space="preserve">AHL3NVDRX7_1</t>
        </is>
      </c>
      <c r="D749" s="19" t="inlineStr">
        <is>
          <t xml:space="preserve">W0757_PPP2R2A_E09</t>
        </is>
      </c>
      <c r="E749" s="2">
        <v>4919</v>
      </c>
      <c r="F749" s="20" t="inlineStr">
        <is>
          <t xml:space="preserve">+</t>
        </is>
      </c>
      <c r="G749" s="4">
        <v>1.617</v>
      </c>
      <c r="H749" s="2">
        <v>3529</v>
      </c>
      <c r="I749" s="9" t="inlineStr">
        <is>
          <t xml:space="preserve">+</t>
        </is>
      </c>
      <c r="J749" s="4">
        <v>1.592</v>
      </c>
    </row>
    <row r="750">
      <c r="A750" s="6" t="inlineStr">
        <is>
          <t xml:space="preserve">HRD-177-26S052587</t>
        </is>
      </c>
      <c r="B750" s="7" t="inlineStr">
        <is>
          <t xml:space="preserve">HRD-177-26S052587</t>
        </is>
      </c>
      <c r="C750" s="7" t="inlineStr">
        <is>
          <t xml:space="preserve">AHL3NVDRX7_1</t>
        </is>
      </c>
      <c r="D750" s="19" t="inlineStr">
        <is>
          <t xml:space="preserve">W0758_PPP2R2A_E09</t>
        </is>
      </c>
      <c r="E750" s="2">
        <v>2631</v>
      </c>
      <c r="F750" s="20" t="inlineStr">
        <is>
          <t xml:space="preserve">+</t>
        </is>
      </c>
      <c r="G750" s="4">
        <v>0.865</v>
      </c>
      <c r="H750" s="2">
        <v>2010</v>
      </c>
      <c r="I750" s="9" t="inlineStr">
        <is>
          <t xml:space="preserve">+</t>
        </is>
      </c>
      <c r="J750" s="4">
        <v>0.907</v>
      </c>
    </row>
    <row r="751">
      <c r="A751" s="6" t="inlineStr">
        <is>
          <t xml:space="preserve">HRD-177-26S052587</t>
        </is>
      </c>
      <c r="B751" s="7" t="inlineStr">
        <is>
          <t xml:space="preserve">HRD-177-26S052587</t>
        </is>
      </c>
      <c r="C751" s="7" t="inlineStr">
        <is>
          <t xml:space="preserve">AHL3NVDRX7_1</t>
        </is>
      </c>
      <c r="D751" s="19" t="inlineStr">
        <is>
          <t xml:space="preserve">W0759_PPP2R2A_E10</t>
        </is>
      </c>
      <c r="E751" s="2">
        <v>2631</v>
      </c>
      <c r="F751" s="20" t="inlineStr">
        <is>
          <t xml:space="preserve">+</t>
        </is>
      </c>
      <c r="G751" s="4">
        <v>0.865</v>
      </c>
      <c r="H751" s="2">
        <v>1908</v>
      </c>
      <c r="I751" s="9" t="inlineStr">
        <is>
          <t xml:space="preserve">+</t>
        </is>
      </c>
      <c r="J751" s="4">
        <v>0.861</v>
      </c>
    </row>
    <row r="752">
      <c r="A752" s="6" t="inlineStr">
        <is>
          <t xml:space="preserve">HRD-177-26S052587</t>
        </is>
      </c>
      <c r="B752" s="7" t="inlineStr">
        <is>
          <t xml:space="preserve">HRD-177-26S052587</t>
        </is>
      </c>
      <c r="C752" s="7" t="inlineStr">
        <is>
          <t xml:space="preserve">AHL3NVDRX7_1</t>
        </is>
      </c>
      <c r="D752" s="19" t="inlineStr">
        <is>
          <t xml:space="preserve">W0760_PPP2R2A_E10</t>
        </is>
      </c>
      <c r="E752" s="2">
        <v>2526</v>
      </c>
      <c r="F752" s="20" t="inlineStr">
        <is>
          <t xml:space="preserve">+</t>
        </is>
      </c>
      <c r="G752" s="4">
        <v>0.83</v>
      </c>
      <c r="H752" s="2">
        <v>1932</v>
      </c>
      <c r="I752" s="9" t="inlineStr">
        <is>
          <t xml:space="preserve">+</t>
        </is>
      </c>
      <c r="J752" s="4">
        <v>0.872</v>
      </c>
    </row>
    <row r="753">
      <c r="A753" s="6" t="inlineStr">
        <is>
          <t xml:space="preserve">HRD-177-26S052587</t>
        </is>
      </c>
      <c r="B753" s="7" t="inlineStr">
        <is>
          <t xml:space="preserve">HRD-177-26S052587</t>
        </is>
      </c>
      <c r="C753" s="7" t="inlineStr">
        <is>
          <t xml:space="preserve">AHL3NVDRX7_1</t>
        </is>
      </c>
      <c r="D753" s="19" t="inlineStr">
        <is>
          <t xml:space="preserve">W0761_PPP2R2A_E10</t>
        </is>
      </c>
      <c r="E753" s="2">
        <v>2368</v>
      </c>
      <c r="F753" s="20" t="inlineStr">
        <is>
          <t xml:space="preserve">+</t>
        </is>
      </c>
      <c r="G753" s="4">
        <v>0.778</v>
      </c>
      <c r="H753" s="2">
        <v>1798</v>
      </c>
      <c r="I753" s="9" t="inlineStr">
        <is>
          <t xml:space="preserve">+</t>
        </is>
      </c>
      <c r="J753" s="4">
        <v>0.811</v>
      </c>
    </row>
    <row r="754">
      <c r="A754" s="6" t="inlineStr">
        <is>
          <t xml:space="preserve">HRD-177-26S052587</t>
        </is>
      </c>
      <c r="B754" s="7" t="inlineStr">
        <is>
          <t xml:space="preserve">HRD-177-26S052587</t>
        </is>
      </c>
      <c r="C754" s="7" t="inlineStr">
        <is>
          <t xml:space="preserve">AHL3NVDRX7_1</t>
        </is>
      </c>
      <c r="D754" s="19" t="inlineStr">
        <is>
          <t xml:space="preserve">W0762_PTEN_E01</t>
        </is>
      </c>
      <c r="E754" s="2">
        <v>2636</v>
      </c>
      <c r="F754" s="20" t="inlineStr">
        <is>
          <t xml:space="preserve">+</t>
        </is>
      </c>
      <c r="G754" s="4">
        <v>0.866</v>
      </c>
      <c r="H754" s="2">
        <v>1893</v>
      </c>
      <c r="I754" s="9" t="inlineStr">
        <is>
          <t xml:space="preserve">+</t>
        </is>
      </c>
      <c r="J754" s="4">
        <v>0.854</v>
      </c>
    </row>
    <row r="755">
      <c r="A755" s="6" t="inlineStr">
        <is>
          <t xml:space="preserve">HRD-177-26S052587</t>
        </is>
      </c>
      <c r="B755" s="7" t="inlineStr">
        <is>
          <t xml:space="preserve">HRD-177-26S052587</t>
        </is>
      </c>
      <c r="C755" s="7" t="inlineStr">
        <is>
          <t xml:space="preserve">AHL3NVDRX7_1</t>
        </is>
      </c>
      <c r="D755" s="19" t="inlineStr">
        <is>
          <t xml:space="preserve">W0763_PTEN_E01</t>
        </is>
      </c>
      <c r="E755" s="2">
        <v>2164</v>
      </c>
      <c r="F755" s="20" t="inlineStr">
        <is>
          <t xml:space="preserve">+</t>
        </is>
      </c>
      <c r="G755" s="4">
        <v>0.711</v>
      </c>
      <c r="H755" s="2">
        <v>1568</v>
      </c>
      <c r="I755" s="9" t="inlineStr">
        <is>
          <t xml:space="preserve">+</t>
        </is>
      </c>
      <c r="J755" s="4">
        <v>0.707</v>
      </c>
    </row>
    <row r="756">
      <c r="A756" s="6" t="inlineStr">
        <is>
          <t xml:space="preserve">HRD-177-26S052587</t>
        </is>
      </c>
      <c r="B756" s="7" t="inlineStr">
        <is>
          <t xml:space="preserve">HRD-177-26S052587</t>
        </is>
      </c>
      <c r="C756" s="7" t="inlineStr">
        <is>
          <t xml:space="preserve">AHL3NVDRX7_1</t>
        </is>
      </c>
      <c r="D756" s="19" t="inlineStr">
        <is>
          <t xml:space="preserve">W0764_PTEN_E02</t>
        </is>
      </c>
      <c r="E756" s="2">
        <v>4308</v>
      </c>
      <c r="F756" s="20" t="inlineStr">
        <is>
          <t xml:space="preserve">+</t>
        </is>
      </c>
      <c r="G756" s="4">
        <v>1.416</v>
      </c>
      <c r="H756" s="2">
        <v>3171</v>
      </c>
      <c r="I756" s="9" t="inlineStr">
        <is>
          <t xml:space="preserve">+</t>
        </is>
      </c>
      <c r="J756" s="4">
        <v>1.431</v>
      </c>
    </row>
    <row r="757">
      <c r="A757" s="6" t="inlineStr">
        <is>
          <t xml:space="preserve">HRD-177-26S052587</t>
        </is>
      </c>
      <c r="B757" s="7" t="inlineStr">
        <is>
          <t xml:space="preserve">HRD-177-26S052587</t>
        </is>
      </c>
      <c r="C757" s="7" t="inlineStr">
        <is>
          <t xml:space="preserve">AHL3NVDRX7_1</t>
        </is>
      </c>
      <c r="D757" s="19" t="inlineStr">
        <is>
          <t xml:space="preserve">W0765_PTEN_E02</t>
        </is>
      </c>
      <c r="E757" s="2">
        <v>3745</v>
      </c>
      <c r="F757" s="20" t="inlineStr">
        <is>
          <t xml:space="preserve">+</t>
        </is>
      </c>
      <c r="G757" s="4">
        <v>1.231</v>
      </c>
      <c r="H757" s="2">
        <v>2761</v>
      </c>
      <c r="I757" s="9" t="inlineStr">
        <is>
          <t xml:space="preserve">+</t>
        </is>
      </c>
      <c r="J757" s="4">
        <v>1.246</v>
      </c>
    </row>
    <row r="758">
      <c r="A758" s="6" t="inlineStr">
        <is>
          <t xml:space="preserve">HRD-177-26S052587</t>
        </is>
      </c>
      <c r="B758" s="7" t="inlineStr">
        <is>
          <t xml:space="preserve">HRD-177-26S052587</t>
        </is>
      </c>
      <c r="C758" s="7" t="inlineStr">
        <is>
          <t xml:space="preserve">AHL3NVDRX7_1</t>
        </is>
      </c>
      <c r="D758" s="19" t="inlineStr">
        <is>
          <t xml:space="preserve">W0766_PTEN_E03</t>
        </is>
      </c>
      <c r="E758" s="2">
        <v>3838</v>
      </c>
      <c r="F758" s="20" t="inlineStr">
        <is>
          <t xml:space="preserve">+</t>
        </is>
      </c>
      <c r="G758" s="4">
        <v>1.261</v>
      </c>
      <c r="H758" s="2">
        <v>2863</v>
      </c>
      <c r="I758" s="9" t="inlineStr">
        <is>
          <t xml:space="preserve">+</t>
        </is>
      </c>
      <c r="J758" s="4">
        <v>1.292</v>
      </c>
    </row>
    <row r="759">
      <c r="A759" s="6" t="inlineStr">
        <is>
          <t xml:space="preserve">HRD-177-26S052587</t>
        </is>
      </c>
      <c r="B759" s="7" t="inlineStr">
        <is>
          <t xml:space="preserve">HRD-177-26S052587</t>
        </is>
      </c>
      <c r="C759" s="7" t="inlineStr">
        <is>
          <t xml:space="preserve">AHL3NVDRX7_1</t>
        </is>
      </c>
      <c r="D759" s="19" t="inlineStr">
        <is>
          <t xml:space="preserve">W0767_PTEN_E03</t>
        </is>
      </c>
      <c r="E759" s="2">
        <v>4781</v>
      </c>
      <c r="F759" s="20" t="inlineStr">
        <is>
          <t xml:space="preserve">+</t>
        </is>
      </c>
      <c r="G759" s="4">
        <v>1.571</v>
      </c>
      <c r="H759" s="2">
        <v>3472</v>
      </c>
      <c r="I759" s="9" t="inlineStr">
        <is>
          <t xml:space="preserve">+</t>
        </is>
      </c>
      <c r="J759" s="4">
        <v>1.566</v>
      </c>
    </row>
    <row r="760">
      <c r="A760" s="6" t="inlineStr">
        <is>
          <t xml:space="preserve">HRD-177-26S052587</t>
        </is>
      </c>
      <c r="B760" s="7" t="inlineStr">
        <is>
          <t xml:space="preserve">HRD-177-26S052587</t>
        </is>
      </c>
      <c r="C760" s="7" t="inlineStr">
        <is>
          <t xml:space="preserve">AHL3NVDRX7_1</t>
        </is>
      </c>
      <c r="D760" s="19" t="inlineStr">
        <is>
          <t xml:space="preserve">W0768_PTEN_E04</t>
        </is>
      </c>
      <c r="E760" s="2">
        <v>5619</v>
      </c>
      <c r="F760" s="20" t="inlineStr">
        <is>
          <t xml:space="preserve">+</t>
        </is>
      </c>
      <c r="G760" s="4">
        <v>1.847</v>
      </c>
      <c r="H760" s="2">
        <v>4115</v>
      </c>
      <c r="I760" s="9" t="inlineStr">
        <is>
          <t xml:space="preserve">+</t>
        </is>
      </c>
      <c r="J760" s="4">
        <v>1.856</v>
      </c>
    </row>
    <row r="761">
      <c r="A761" s="6" t="inlineStr">
        <is>
          <t xml:space="preserve">HRD-177-26S052587</t>
        </is>
      </c>
      <c r="B761" s="7" t="inlineStr">
        <is>
          <t xml:space="preserve">HRD-177-26S052587</t>
        </is>
      </c>
      <c r="C761" s="7" t="inlineStr">
        <is>
          <t xml:space="preserve">AHL3NVDRX7_1</t>
        </is>
      </c>
      <c r="D761" s="19" t="inlineStr">
        <is>
          <t xml:space="preserve">W0769_PTEN_E04</t>
        </is>
      </c>
      <c r="E761" s="2">
        <v>6480</v>
      </c>
      <c r="F761" s="20" t="inlineStr">
        <is>
          <t xml:space="preserve">+</t>
        </is>
      </c>
      <c r="G761" s="4">
        <v>2.13</v>
      </c>
      <c r="H761" s="2">
        <v>4583</v>
      </c>
      <c r="I761" s="9" t="inlineStr">
        <is>
          <t xml:space="preserve">+</t>
        </is>
      </c>
      <c r="J761" s="4">
        <v>2.068</v>
      </c>
    </row>
    <row r="762">
      <c r="A762" s="6" t="inlineStr">
        <is>
          <t xml:space="preserve">HRD-177-26S052587</t>
        </is>
      </c>
      <c r="B762" s="7" t="inlineStr">
        <is>
          <t xml:space="preserve">HRD-177-26S052587</t>
        </is>
      </c>
      <c r="C762" s="7" t="inlineStr">
        <is>
          <t xml:space="preserve">AHL3NVDRX7_1</t>
        </is>
      </c>
      <c r="D762" s="19" t="inlineStr">
        <is>
          <t xml:space="preserve">W0770_PTEN_E05</t>
        </is>
      </c>
      <c r="E762" s="2">
        <v>3311</v>
      </c>
      <c r="F762" s="20" t="inlineStr">
        <is>
          <t xml:space="preserve">+</t>
        </is>
      </c>
      <c r="G762" s="4">
        <v>1.088</v>
      </c>
      <c r="H762" s="2">
        <v>2533</v>
      </c>
      <c r="I762" s="9" t="inlineStr">
        <is>
          <t xml:space="preserve">+</t>
        </is>
      </c>
      <c r="J762" s="4">
        <v>1.143</v>
      </c>
    </row>
    <row r="763">
      <c r="A763" s="6" t="inlineStr">
        <is>
          <t xml:space="preserve">HRD-177-26S052587</t>
        </is>
      </c>
      <c r="B763" s="7" t="inlineStr">
        <is>
          <t xml:space="preserve">HRD-177-26S052587</t>
        </is>
      </c>
      <c r="C763" s="7" t="inlineStr">
        <is>
          <t xml:space="preserve">AHL3NVDRX7_1</t>
        </is>
      </c>
      <c r="D763" s="19" t="inlineStr">
        <is>
          <t xml:space="preserve">W0771_PTEN_E05</t>
        </is>
      </c>
      <c r="E763" s="2">
        <v>7194</v>
      </c>
      <c r="F763" s="20" t="inlineStr">
        <is>
          <t xml:space="preserve">+</t>
        </is>
      </c>
      <c r="G763" s="4">
        <v>2.364</v>
      </c>
      <c r="H763" s="2">
        <v>5027</v>
      </c>
      <c r="I763" s="9" t="inlineStr">
        <is>
          <t xml:space="preserve">+</t>
        </is>
      </c>
      <c r="J763" s="4">
        <v>2.268</v>
      </c>
    </row>
    <row r="764">
      <c r="A764" s="6" t="inlineStr">
        <is>
          <t xml:space="preserve">HRD-177-26S052587</t>
        </is>
      </c>
      <c r="B764" s="7" t="inlineStr">
        <is>
          <t xml:space="preserve">HRD-177-26S052587</t>
        </is>
      </c>
      <c r="C764" s="7" t="inlineStr">
        <is>
          <t xml:space="preserve">AHL3NVDRX7_1</t>
        </is>
      </c>
      <c r="D764" s="19" t="inlineStr">
        <is>
          <t xml:space="preserve">W0772_PTEN_E05</t>
        </is>
      </c>
      <c r="E764" s="2">
        <v>2915</v>
      </c>
      <c r="F764" s="20" t="inlineStr">
        <is>
          <t xml:space="preserve">+</t>
        </is>
      </c>
      <c r="G764" s="4">
        <v>0.958</v>
      </c>
      <c r="H764" s="2">
        <v>2200</v>
      </c>
      <c r="I764" s="9" t="inlineStr">
        <is>
          <t xml:space="preserve">+</t>
        </is>
      </c>
      <c r="J764" s="4">
        <v>0.992</v>
      </c>
    </row>
    <row r="765">
      <c r="A765" s="6" t="inlineStr">
        <is>
          <t xml:space="preserve">HRD-177-26S052587</t>
        </is>
      </c>
      <c r="B765" s="7" t="inlineStr">
        <is>
          <t xml:space="preserve">HRD-177-26S052587</t>
        </is>
      </c>
      <c r="C765" s="7" t="inlineStr">
        <is>
          <t xml:space="preserve">AHL3NVDRX7_1</t>
        </is>
      </c>
      <c r="D765" s="19" t="inlineStr">
        <is>
          <t xml:space="preserve">W0773_PTEN_E06</t>
        </is>
      </c>
      <c r="E765" s="2">
        <v>3074</v>
      </c>
      <c r="F765" s="20" t="inlineStr">
        <is>
          <t xml:space="preserve">+</t>
        </is>
      </c>
      <c r="G765" s="4">
        <v>1.01</v>
      </c>
      <c r="H765" s="2">
        <v>2318</v>
      </c>
      <c r="I765" s="9" t="inlineStr">
        <is>
          <t xml:space="preserve">+</t>
        </is>
      </c>
      <c r="J765" s="4">
        <v>1.046</v>
      </c>
    </row>
    <row r="766">
      <c r="A766" s="6" t="inlineStr">
        <is>
          <t xml:space="preserve">HRD-177-26S052587</t>
        </is>
      </c>
      <c r="B766" s="7" t="inlineStr">
        <is>
          <t xml:space="preserve">HRD-177-26S052587</t>
        </is>
      </c>
      <c r="C766" s="7" t="inlineStr">
        <is>
          <t xml:space="preserve">AHL3NVDRX7_1</t>
        </is>
      </c>
      <c r="D766" s="19" t="inlineStr">
        <is>
          <t xml:space="preserve">W0774_PTEN_E06</t>
        </is>
      </c>
      <c r="E766" s="2">
        <v>4508</v>
      </c>
      <c r="F766" s="20" t="inlineStr">
        <is>
          <t xml:space="preserve">+</t>
        </is>
      </c>
      <c r="G766" s="4">
        <v>1.482</v>
      </c>
      <c r="H766" s="2">
        <v>3176</v>
      </c>
      <c r="I766" s="9" t="inlineStr">
        <is>
          <t xml:space="preserve">+</t>
        </is>
      </c>
      <c r="J766" s="4">
        <v>1.433</v>
      </c>
    </row>
    <row r="767">
      <c r="A767" s="6" t="inlineStr">
        <is>
          <t xml:space="preserve">HRD-177-26S052587</t>
        </is>
      </c>
      <c r="B767" s="7" t="inlineStr">
        <is>
          <t xml:space="preserve">HRD-177-26S052587</t>
        </is>
      </c>
      <c r="C767" s="7" t="inlineStr">
        <is>
          <t xml:space="preserve">AHL3NVDRX7_1</t>
        </is>
      </c>
      <c r="D767" s="19" t="inlineStr">
        <is>
          <t xml:space="preserve">W0775_PTEN_E07</t>
        </is>
      </c>
      <c r="E767" s="2">
        <v>4321</v>
      </c>
      <c r="F767" s="20" t="inlineStr">
        <is>
          <t xml:space="preserve">+</t>
        </is>
      </c>
      <c r="G767" s="4">
        <v>1.42</v>
      </c>
      <c r="H767" s="2">
        <v>3157</v>
      </c>
      <c r="I767" s="9" t="inlineStr">
        <is>
          <t xml:space="preserve">+</t>
        </is>
      </c>
      <c r="J767" s="4">
        <v>1.424</v>
      </c>
    </row>
    <row r="768">
      <c r="A768" s="6" t="inlineStr">
        <is>
          <t xml:space="preserve">HRD-177-26S052587</t>
        </is>
      </c>
      <c r="B768" s="7" t="inlineStr">
        <is>
          <t xml:space="preserve">HRD-177-26S052587</t>
        </is>
      </c>
      <c r="C768" s="7" t="inlineStr">
        <is>
          <t xml:space="preserve">AHL3NVDRX7_1</t>
        </is>
      </c>
      <c r="D768" s="19" t="inlineStr">
        <is>
          <t xml:space="preserve">W0776_PTEN_E07</t>
        </is>
      </c>
      <c r="E768" s="2">
        <v>4445</v>
      </c>
      <c r="F768" s="20" t="inlineStr">
        <is>
          <t xml:space="preserve">+</t>
        </is>
      </c>
      <c r="G768" s="4">
        <v>1.461</v>
      </c>
      <c r="H768" s="2">
        <v>3191</v>
      </c>
      <c r="I768" s="9" t="inlineStr">
        <is>
          <t xml:space="preserve">+</t>
        </is>
      </c>
      <c r="J768" s="4">
        <v>1.44</v>
      </c>
    </row>
    <row r="769">
      <c r="A769" s="6" t="inlineStr">
        <is>
          <t xml:space="preserve">HRD-177-26S052587</t>
        </is>
      </c>
      <c r="B769" s="7" t="inlineStr">
        <is>
          <t xml:space="preserve">HRD-177-26S052587</t>
        </is>
      </c>
      <c r="C769" s="7" t="inlineStr">
        <is>
          <t xml:space="preserve">AHL3NVDRX7_1</t>
        </is>
      </c>
      <c r="D769" s="19" t="inlineStr">
        <is>
          <t xml:space="preserve">W0777_PTEN_E08</t>
        </is>
      </c>
      <c r="E769" s="2">
        <v>2652</v>
      </c>
      <c r="F769" s="20" t="inlineStr">
        <is>
          <t xml:space="preserve">+</t>
        </is>
      </c>
      <c r="G769" s="4">
        <v>0.872</v>
      </c>
      <c r="H769" s="2">
        <v>2042</v>
      </c>
      <c r="I769" s="9" t="inlineStr">
        <is>
          <t xml:space="preserve">+</t>
        </is>
      </c>
      <c r="J769" s="4">
        <v>0.921</v>
      </c>
    </row>
    <row r="770">
      <c r="A770" s="6" t="inlineStr">
        <is>
          <t xml:space="preserve">HRD-177-26S052587</t>
        </is>
      </c>
      <c r="B770" s="7" t="inlineStr">
        <is>
          <t xml:space="preserve">HRD-177-26S052587</t>
        </is>
      </c>
      <c r="C770" s="7" t="inlineStr">
        <is>
          <t xml:space="preserve">AHL3NVDRX7_1</t>
        </is>
      </c>
      <c r="D770" s="19" t="inlineStr">
        <is>
          <t xml:space="preserve">W0778_PTEN_E08</t>
        </is>
      </c>
      <c r="E770" s="2">
        <v>5487</v>
      </c>
      <c r="F770" s="20" t="inlineStr">
        <is>
          <t xml:space="preserve">+</t>
        </is>
      </c>
      <c r="G770" s="4">
        <v>1.803</v>
      </c>
      <c r="H770" s="2">
        <v>3994</v>
      </c>
      <c r="I770" s="9" t="inlineStr">
        <is>
          <t xml:space="preserve">+</t>
        </is>
      </c>
      <c r="J770" s="4">
        <v>1.802</v>
      </c>
    </row>
    <row r="771">
      <c r="A771" s="6" t="inlineStr">
        <is>
          <t xml:space="preserve">HRD-177-26S052587</t>
        </is>
      </c>
      <c r="B771" s="7" t="inlineStr">
        <is>
          <t xml:space="preserve">HRD-177-26S052587</t>
        </is>
      </c>
      <c r="C771" s="7" t="inlineStr">
        <is>
          <t xml:space="preserve">AHL3NVDRX7_1</t>
        </is>
      </c>
      <c r="D771" s="19" t="inlineStr">
        <is>
          <t xml:space="preserve">W0779_PTEN_E08</t>
        </is>
      </c>
      <c r="E771" s="2">
        <v>4200</v>
      </c>
      <c r="F771" s="20" t="inlineStr">
        <is>
          <t xml:space="preserve">+</t>
        </is>
      </c>
      <c r="G771" s="4">
        <v>1.38</v>
      </c>
      <c r="H771" s="2">
        <v>3133</v>
      </c>
      <c r="I771" s="9" t="inlineStr">
        <is>
          <t xml:space="preserve">+</t>
        </is>
      </c>
      <c r="J771" s="4">
        <v>1.413</v>
      </c>
    </row>
    <row r="772">
      <c r="A772" s="6" t="inlineStr">
        <is>
          <t xml:space="preserve">HRD-177-26S052587</t>
        </is>
      </c>
      <c r="B772" s="7" t="inlineStr">
        <is>
          <t xml:space="preserve">HRD-177-26S052587</t>
        </is>
      </c>
      <c r="C772" s="7" t="inlineStr">
        <is>
          <t xml:space="preserve">AHL3NVDRX7_1</t>
        </is>
      </c>
      <c r="D772" s="19" t="inlineStr">
        <is>
          <t xml:space="preserve">W0780_PTEN_E08</t>
        </is>
      </c>
      <c r="E772" s="2">
        <v>5559</v>
      </c>
      <c r="F772" s="20" t="inlineStr">
        <is>
          <t xml:space="preserve">+</t>
        </is>
      </c>
      <c r="G772" s="4">
        <v>1.827</v>
      </c>
      <c r="H772" s="2">
        <v>4007</v>
      </c>
      <c r="I772" s="9" t="inlineStr">
        <is>
          <t xml:space="preserve">+</t>
        </is>
      </c>
      <c r="J772" s="4">
        <v>1.808</v>
      </c>
    </row>
    <row r="773">
      <c r="A773" s="6" t="inlineStr">
        <is>
          <t xml:space="preserve">HRD-177-26S052587</t>
        </is>
      </c>
      <c r="B773" s="7" t="inlineStr">
        <is>
          <t xml:space="preserve">HRD-177-26S052587</t>
        </is>
      </c>
      <c r="C773" s="7" t="inlineStr">
        <is>
          <t xml:space="preserve">AHL3NVDRX7_1</t>
        </is>
      </c>
      <c r="D773" s="19" t="inlineStr">
        <is>
          <t xml:space="preserve">W0781_PTEN_E09</t>
        </is>
      </c>
      <c r="E773" s="2">
        <v>2338</v>
      </c>
      <c r="F773" s="20" t="inlineStr">
        <is>
          <t xml:space="preserve">+</t>
        </is>
      </c>
      <c r="G773" s="4">
        <v>0.768</v>
      </c>
      <c r="H773" s="2">
        <v>1766</v>
      </c>
      <c r="I773" s="9" t="inlineStr">
        <is>
          <t xml:space="preserve">+</t>
        </is>
      </c>
      <c r="J773" s="4">
        <v>0.797</v>
      </c>
    </row>
    <row r="774">
      <c r="A774" s="6" t="inlineStr">
        <is>
          <t xml:space="preserve">HRD-177-26S052587</t>
        </is>
      </c>
      <c r="B774" s="7" t="inlineStr">
        <is>
          <t xml:space="preserve">HRD-177-26S052587</t>
        </is>
      </c>
      <c r="C774" s="7" t="inlineStr">
        <is>
          <t xml:space="preserve">AHL3NVDRX7_1</t>
        </is>
      </c>
      <c r="D774" s="19" t="inlineStr">
        <is>
          <t xml:space="preserve">W0782_PTEN_E09</t>
        </is>
      </c>
      <c r="E774" s="2">
        <v>2993</v>
      </c>
      <c r="F774" s="20" t="inlineStr">
        <is>
          <t xml:space="preserve">+</t>
        </is>
      </c>
      <c r="G774" s="4">
        <v>0.984</v>
      </c>
      <c r="H774" s="2">
        <v>2292</v>
      </c>
      <c r="I774" s="9" t="inlineStr">
        <is>
          <t xml:space="preserve">+</t>
        </is>
      </c>
      <c r="J774" s="4">
        <v>1.034</v>
      </c>
    </row>
    <row r="775">
      <c r="A775" s="6" t="inlineStr">
        <is>
          <t xml:space="preserve">HRD-177-26S052587</t>
        </is>
      </c>
      <c r="B775" s="7" t="inlineStr">
        <is>
          <t xml:space="preserve">HRD-177-26S052587</t>
        </is>
      </c>
      <c r="C775" s="7" t="inlineStr">
        <is>
          <t xml:space="preserve">AHL3NVDRX7_1</t>
        </is>
      </c>
      <c r="D775" s="19" t="inlineStr">
        <is>
          <t xml:space="preserve">W0783_RAD51B_E02</t>
        </is>
      </c>
      <c r="E775" s="2">
        <v>4107</v>
      </c>
      <c r="F775" s="20" t="inlineStr">
        <is>
          <t xml:space="preserve">+</t>
        </is>
      </c>
      <c r="G775" s="4">
        <v>1.35</v>
      </c>
      <c r="H775" s="2">
        <v>3025</v>
      </c>
      <c r="I775" s="9" t="inlineStr">
        <is>
          <t xml:space="preserve">+</t>
        </is>
      </c>
      <c r="J775" s="4">
        <v>1.365</v>
      </c>
    </row>
    <row r="776">
      <c r="A776" s="6" t="inlineStr">
        <is>
          <t xml:space="preserve">HRD-177-26S052587</t>
        </is>
      </c>
      <c r="B776" s="7" t="inlineStr">
        <is>
          <t xml:space="preserve">HRD-177-26S052587</t>
        </is>
      </c>
      <c r="C776" s="7" t="inlineStr">
        <is>
          <t xml:space="preserve">AHL3NVDRX7_1</t>
        </is>
      </c>
      <c r="D776" s="19" t="inlineStr">
        <is>
          <t xml:space="preserve">W0784_RAD51B_E02</t>
        </is>
      </c>
      <c r="E776" s="2">
        <v>2459</v>
      </c>
      <c r="F776" s="20" t="inlineStr">
        <is>
          <t xml:space="preserve">+</t>
        </is>
      </c>
      <c r="G776" s="4">
        <v>0.808</v>
      </c>
      <c r="H776" s="2">
        <v>1856</v>
      </c>
      <c r="I776" s="9" t="inlineStr">
        <is>
          <t xml:space="preserve">+</t>
        </is>
      </c>
      <c r="J776" s="4">
        <v>0.837</v>
      </c>
    </row>
    <row r="777">
      <c r="A777" s="6" t="inlineStr">
        <is>
          <t xml:space="preserve">HRD-177-26S052587</t>
        </is>
      </c>
      <c r="B777" s="7" t="inlineStr">
        <is>
          <t xml:space="preserve">HRD-177-26S052587</t>
        </is>
      </c>
      <c r="C777" s="7" t="inlineStr">
        <is>
          <t xml:space="preserve">AHL3NVDRX7_1</t>
        </is>
      </c>
      <c r="D777" s="19" t="inlineStr">
        <is>
          <t xml:space="preserve">W0785_RAD51B_E03</t>
        </is>
      </c>
      <c r="E777" s="2">
        <v>2661</v>
      </c>
      <c r="F777" s="20" t="inlineStr">
        <is>
          <t xml:space="preserve">+</t>
        </is>
      </c>
      <c r="G777" s="4">
        <v>0.875</v>
      </c>
      <c r="H777" s="2">
        <v>1956</v>
      </c>
      <c r="I777" s="9" t="inlineStr">
        <is>
          <t xml:space="preserve">+</t>
        </is>
      </c>
      <c r="J777" s="4">
        <v>0.882</v>
      </c>
    </row>
    <row r="778">
      <c r="A778" s="6" t="inlineStr">
        <is>
          <t xml:space="preserve">HRD-177-26S052587</t>
        </is>
      </c>
      <c r="B778" s="7" t="inlineStr">
        <is>
          <t xml:space="preserve">HRD-177-26S052587</t>
        </is>
      </c>
      <c r="C778" s="7" t="inlineStr">
        <is>
          <t xml:space="preserve">AHL3NVDRX7_1</t>
        </is>
      </c>
      <c r="D778" s="19" t="inlineStr">
        <is>
          <t xml:space="preserve">W0786_RAD51B_E03</t>
        </is>
      </c>
      <c r="E778" s="2">
        <v>3036</v>
      </c>
      <c r="F778" s="20" t="inlineStr">
        <is>
          <t xml:space="preserve">+</t>
        </is>
      </c>
      <c r="G778" s="4">
        <v>0.998</v>
      </c>
      <c r="H778" s="2">
        <v>2271</v>
      </c>
      <c r="I778" s="9" t="inlineStr">
        <is>
          <t xml:space="preserve">+</t>
        </is>
      </c>
      <c r="J778" s="4">
        <v>1.025</v>
      </c>
    </row>
    <row r="779">
      <c r="A779" s="6" t="inlineStr">
        <is>
          <t xml:space="preserve">HRD-177-26S052587</t>
        </is>
      </c>
      <c r="B779" s="7" t="inlineStr">
        <is>
          <t xml:space="preserve">HRD-177-26S052587</t>
        </is>
      </c>
      <c r="C779" s="7" t="inlineStr">
        <is>
          <t xml:space="preserve">AHL3NVDRX7_1</t>
        </is>
      </c>
      <c r="D779" s="19" t="inlineStr">
        <is>
          <t xml:space="preserve">W0787_RAD51B_E04</t>
        </is>
      </c>
      <c r="E779" s="2">
        <v>1661</v>
      </c>
      <c r="F779" s="20" t="inlineStr">
        <is>
          <t xml:space="preserve">+</t>
        </is>
      </c>
      <c r="G779" s="4">
        <v>0.546</v>
      </c>
      <c r="H779" s="2">
        <v>1296</v>
      </c>
      <c r="I779" s="9" t="inlineStr">
        <is>
          <t xml:space="preserve">+</t>
        </is>
      </c>
      <c r="J779" s="4">
        <v>0.585</v>
      </c>
    </row>
    <row r="780">
      <c r="A780" s="6" t="inlineStr">
        <is>
          <t xml:space="preserve">HRD-177-26S052587</t>
        </is>
      </c>
      <c r="B780" s="7" t="inlineStr">
        <is>
          <t xml:space="preserve">HRD-177-26S052587</t>
        </is>
      </c>
      <c r="C780" s="7" t="inlineStr">
        <is>
          <t xml:space="preserve">AHL3NVDRX7_1</t>
        </is>
      </c>
      <c r="D780" s="19" t="inlineStr">
        <is>
          <t xml:space="preserve">W0788_RAD51B_E04</t>
        </is>
      </c>
      <c r="E780" s="2">
        <v>3794</v>
      </c>
      <c r="F780" s="20" t="inlineStr">
        <is>
          <t xml:space="preserve">+</t>
        </is>
      </c>
      <c r="G780" s="4">
        <v>1.247</v>
      </c>
      <c r="H780" s="2">
        <v>2864</v>
      </c>
      <c r="I780" s="9" t="inlineStr">
        <is>
          <t xml:space="preserve">+</t>
        </is>
      </c>
      <c r="J780" s="4">
        <v>1.292</v>
      </c>
    </row>
    <row r="781">
      <c r="A781" s="6" t="inlineStr">
        <is>
          <t xml:space="preserve">HRD-177-26S052587</t>
        </is>
      </c>
      <c r="B781" s="7" t="inlineStr">
        <is>
          <t xml:space="preserve">HRD-177-26S052587</t>
        </is>
      </c>
      <c r="C781" s="7" t="inlineStr">
        <is>
          <t xml:space="preserve">AHL3NVDRX7_1</t>
        </is>
      </c>
      <c r="D781" s="19" t="inlineStr">
        <is>
          <t xml:space="preserve">W0789_RAD51B_E05</t>
        </is>
      </c>
      <c r="E781" s="2">
        <v>977</v>
      </c>
      <c r="F781" s="20" t="inlineStr">
        <is>
          <t xml:space="preserve">+</t>
        </is>
      </c>
      <c r="G781" s="4">
        <v>0.321</v>
      </c>
      <c r="H781" s="2">
        <v>784</v>
      </c>
      <c r="I781" s="9" t="inlineStr">
        <is>
          <t xml:space="preserve">+</t>
        </is>
      </c>
      <c r="J781" s="4">
        <v>0.354</v>
      </c>
    </row>
    <row r="782">
      <c r="A782" s="6" t="inlineStr">
        <is>
          <t xml:space="preserve">HRD-177-26S052587</t>
        </is>
      </c>
      <c r="B782" s="7" t="inlineStr">
        <is>
          <t xml:space="preserve">HRD-177-26S052587</t>
        </is>
      </c>
      <c r="C782" s="7" t="inlineStr">
        <is>
          <t xml:space="preserve">AHL3NVDRX7_1</t>
        </is>
      </c>
      <c r="D782" s="19" t="inlineStr">
        <is>
          <t xml:space="preserve">W0790_RAD51B_E05</t>
        </is>
      </c>
      <c r="E782" s="2">
        <v>2191</v>
      </c>
      <c r="F782" s="20" t="inlineStr">
        <is>
          <t xml:space="preserve">+</t>
        </is>
      </c>
      <c r="G782" s="4">
        <v>0.72</v>
      </c>
      <c r="H782" s="2">
        <v>1652</v>
      </c>
      <c r="I782" s="9" t="inlineStr">
        <is>
          <t xml:space="preserve">+</t>
        </is>
      </c>
      <c r="J782" s="4">
        <v>0.745</v>
      </c>
    </row>
    <row r="783">
      <c r="A783" s="6" t="inlineStr">
        <is>
          <t xml:space="preserve">HRD-177-26S052587</t>
        </is>
      </c>
      <c r="B783" s="7" t="inlineStr">
        <is>
          <t xml:space="preserve">HRD-177-26S052587</t>
        </is>
      </c>
      <c r="C783" s="7" t="inlineStr">
        <is>
          <t xml:space="preserve">AHL3NVDRX7_1</t>
        </is>
      </c>
      <c r="D783" s="19" t="inlineStr">
        <is>
          <t xml:space="preserve">W0791_RAD51B_E06</t>
        </is>
      </c>
      <c r="E783" s="2">
        <v>3494</v>
      </c>
      <c r="F783" s="20" t="inlineStr">
        <is>
          <t xml:space="preserve">+</t>
        </is>
      </c>
      <c r="G783" s="4">
        <v>1.148</v>
      </c>
      <c r="H783" s="2">
        <v>2624</v>
      </c>
      <c r="I783" s="9" t="inlineStr">
        <is>
          <t xml:space="preserve">+</t>
        </is>
      </c>
      <c r="J783" s="4">
        <v>1.184</v>
      </c>
    </row>
    <row r="784">
      <c r="A784" s="6" t="inlineStr">
        <is>
          <t xml:space="preserve">HRD-177-26S052587</t>
        </is>
      </c>
      <c r="B784" s="7" t="inlineStr">
        <is>
          <t xml:space="preserve">HRD-177-26S052587</t>
        </is>
      </c>
      <c r="C784" s="7" t="inlineStr">
        <is>
          <t xml:space="preserve">AHL3NVDRX7_1</t>
        </is>
      </c>
      <c r="D784" s="19" t="inlineStr">
        <is>
          <t xml:space="preserve">W0792_RAD51B_E06</t>
        </is>
      </c>
      <c r="E784" s="2">
        <v>3106</v>
      </c>
      <c r="F784" s="20" t="inlineStr">
        <is>
          <t xml:space="preserve">+</t>
        </is>
      </c>
      <c r="G784" s="4">
        <v>1.021</v>
      </c>
      <c r="H784" s="2">
        <v>2384</v>
      </c>
      <c r="I784" s="9" t="inlineStr">
        <is>
          <t xml:space="preserve">+</t>
        </is>
      </c>
      <c r="J784" s="4">
        <v>1.075</v>
      </c>
    </row>
    <row r="785">
      <c r="A785" s="6" t="inlineStr">
        <is>
          <t xml:space="preserve">HRD-177-26S052587</t>
        </is>
      </c>
      <c r="B785" s="7" t="inlineStr">
        <is>
          <t xml:space="preserve">HRD-177-26S052587</t>
        </is>
      </c>
      <c r="C785" s="7" t="inlineStr">
        <is>
          <t xml:space="preserve">AHL3NVDRX7_1</t>
        </is>
      </c>
      <c r="D785" s="19" t="inlineStr">
        <is>
          <t xml:space="preserve">W0793_RAD51B_E07</t>
        </is>
      </c>
      <c r="E785" s="2">
        <v>1514</v>
      </c>
      <c r="F785" s="20" t="inlineStr">
        <is>
          <t xml:space="preserve">+</t>
        </is>
      </c>
      <c r="G785" s="4">
        <v>0.498</v>
      </c>
      <c r="H785" s="2">
        <v>1184</v>
      </c>
      <c r="I785" s="9" t="inlineStr">
        <is>
          <t xml:space="preserve">+</t>
        </is>
      </c>
      <c r="J785" s="4">
        <v>0.534</v>
      </c>
    </row>
    <row r="786">
      <c r="A786" s="6" t="inlineStr">
        <is>
          <t xml:space="preserve">HRD-177-26S052587</t>
        </is>
      </c>
      <c r="B786" s="7" t="inlineStr">
        <is>
          <t xml:space="preserve">HRD-177-26S052587</t>
        </is>
      </c>
      <c r="C786" s="7" t="inlineStr">
        <is>
          <t xml:space="preserve">AHL3NVDRX7_1</t>
        </is>
      </c>
      <c r="D786" s="19" t="inlineStr">
        <is>
          <t xml:space="preserve">W0794_RAD51B_E07</t>
        </is>
      </c>
      <c r="E786" s="2">
        <v>4766</v>
      </c>
      <c r="F786" s="20" t="inlineStr">
        <is>
          <t xml:space="preserve">+</t>
        </is>
      </c>
      <c r="G786" s="4">
        <v>1.566</v>
      </c>
      <c r="H786" s="2">
        <v>3504</v>
      </c>
      <c r="I786" s="9" t="inlineStr">
        <is>
          <t xml:space="preserve">+</t>
        </is>
      </c>
      <c r="J786" s="4">
        <v>1.581</v>
      </c>
    </row>
    <row r="787">
      <c r="A787" s="6" t="inlineStr">
        <is>
          <t xml:space="preserve">HRD-177-26S052587</t>
        </is>
      </c>
      <c r="B787" s="7" t="inlineStr">
        <is>
          <t xml:space="preserve">HRD-177-26S052587</t>
        </is>
      </c>
      <c r="C787" s="7" t="inlineStr">
        <is>
          <t xml:space="preserve">AHL3NVDRX7_1</t>
        </is>
      </c>
      <c r="D787" s="19" t="inlineStr">
        <is>
          <t xml:space="preserve">W0795_RAD51B_E07</t>
        </is>
      </c>
      <c r="E787" s="2">
        <v>1719</v>
      </c>
      <c r="F787" s="20" t="inlineStr">
        <is>
          <t xml:space="preserve">+</t>
        </is>
      </c>
      <c r="G787" s="4">
        <v>0.565</v>
      </c>
      <c r="H787" s="2">
        <v>1329</v>
      </c>
      <c r="I787" s="9" t="inlineStr">
        <is>
          <t xml:space="preserve">+</t>
        </is>
      </c>
      <c r="J787" s="4">
        <v>0.6</v>
      </c>
    </row>
    <row r="788">
      <c r="A788" s="6" t="inlineStr">
        <is>
          <t xml:space="preserve">HRD-177-26S052587</t>
        </is>
      </c>
      <c r="B788" s="7" t="inlineStr">
        <is>
          <t xml:space="preserve">HRD-177-26S052587</t>
        </is>
      </c>
      <c r="C788" s="7" t="inlineStr">
        <is>
          <t xml:space="preserve">AHL3NVDRX7_1</t>
        </is>
      </c>
      <c r="D788" s="19" t="inlineStr">
        <is>
          <t xml:space="preserve">W0796_RAD51B_E08</t>
        </is>
      </c>
      <c r="E788" s="2">
        <v>1509</v>
      </c>
      <c r="F788" s="20" t="inlineStr">
        <is>
          <t xml:space="preserve">+</t>
        </is>
      </c>
      <c r="G788" s="4">
        <v>0.496</v>
      </c>
      <c r="H788" s="2">
        <v>1117</v>
      </c>
      <c r="I788" s="9" t="inlineStr">
        <is>
          <t xml:space="preserve">+</t>
        </is>
      </c>
      <c r="J788" s="4">
        <v>0.504</v>
      </c>
    </row>
    <row r="789">
      <c r="A789" s="6" t="inlineStr">
        <is>
          <t xml:space="preserve">HRD-177-26S052587</t>
        </is>
      </c>
      <c r="B789" s="7" t="inlineStr">
        <is>
          <t xml:space="preserve">HRD-177-26S052587</t>
        </is>
      </c>
      <c r="C789" s="7" t="inlineStr">
        <is>
          <t xml:space="preserve">AHL3NVDRX7_1</t>
        </is>
      </c>
      <c r="D789" s="19" t="inlineStr">
        <is>
          <t xml:space="preserve">W0797_RAD51B_E08</t>
        </is>
      </c>
      <c r="E789" s="2">
        <v>2778</v>
      </c>
      <c r="F789" s="20" t="inlineStr">
        <is>
          <t xml:space="preserve">+</t>
        </is>
      </c>
      <c r="G789" s="4">
        <v>0.913</v>
      </c>
      <c r="H789" s="2">
        <v>2005</v>
      </c>
      <c r="I789" s="9" t="inlineStr">
        <is>
          <t xml:space="preserve">+</t>
        </is>
      </c>
      <c r="J789" s="4">
        <v>0.905</v>
      </c>
    </row>
    <row r="790">
      <c r="A790" s="6" t="inlineStr">
        <is>
          <t xml:space="preserve">HRD-177-26S052587</t>
        </is>
      </c>
      <c r="B790" s="7" t="inlineStr">
        <is>
          <t xml:space="preserve">HRD-177-26S052587</t>
        </is>
      </c>
      <c r="C790" s="7" t="inlineStr">
        <is>
          <t xml:space="preserve">AHL3NVDRX7_1</t>
        </is>
      </c>
      <c r="D790" s="19" t="inlineStr">
        <is>
          <t xml:space="preserve">W0798_RAD51B_E09</t>
        </is>
      </c>
      <c r="E790" s="2">
        <v>4244</v>
      </c>
      <c r="F790" s="20" t="inlineStr">
        <is>
          <t xml:space="preserve">+</t>
        </is>
      </c>
      <c r="G790" s="4">
        <v>1.395</v>
      </c>
      <c r="H790" s="2">
        <v>2920</v>
      </c>
      <c r="I790" s="9" t="inlineStr">
        <is>
          <t xml:space="preserve">+</t>
        </is>
      </c>
      <c r="J790" s="4">
        <v>1.317</v>
      </c>
    </row>
    <row r="791">
      <c r="A791" s="6" t="inlineStr">
        <is>
          <t xml:space="preserve">HRD-177-26S052587</t>
        </is>
      </c>
      <c r="B791" s="7" t="inlineStr">
        <is>
          <t xml:space="preserve">HRD-177-26S052587</t>
        </is>
      </c>
      <c r="C791" s="7" t="inlineStr">
        <is>
          <t xml:space="preserve">AHL3NVDRX7_1</t>
        </is>
      </c>
      <c r="D791" s="19" t="inlineStr">
        <is>
          <t xml:space="preserve">W0799_RAD51B_E09</t>
        </is>
      </c>
      <c r="E791" s="2">
        <v>3348</v>
      </c>
      <c r="F791" s="20" t="inlineStr">
        <is>
          <t xml:space="preserve">+</t>
        </is>
      </c>
      <c r="G791" s="4">
        <v>1.1</v>
      </c>
      <c r="H791" s="2">
        <v>2390</v>
      </c>
      <c r="I791" s="9" t="inlineStr">
        <is>
          <t xml:space="preserve">+</t>
        </is>
      </c>
      <c r="J791" s="4">
        <v>1.078</v>
      </c>
    </row>
    <row r="792">
      <c r="A792" s="6" t="inlineStr">
        <is>
          <t xml:space="preserve">HRD-177-26S052587</t>
        </is>
      </c>
      <c r="B792" s="7" t="inlineStr">
        <is>
          <t xml:space="preserve">HRD-177-26S052587</t>
        </is>
      </c>
      <c r="C792" s="7" t="inlineStr">
        <is>
          <t xml:space="preserve">AHL3NVDRX7_1</t>
        </is>
      </c>
      <c r="D792" s="19" t="inlineStr">
        <is>
          <t xml:space="preserve">W0800_RAD51B_E10</t>
        </is>
      </c>
      <c r="E792" s="2">
        <v>4178</v>
      </c>
      <c r="F792" s="20" t="inlineStr">
        <is>
          <t xml:space="preserve">+</t>
        </is>
      </c>
      <c r="G792" s="4">
        <v>1.373</v>
      </c>
      <c r="H792" s="2">
        <v>2956</v>
      </c>
      <c r="I792" s="9" t="inlineStr">
        <is>
          <t xml:space="preserve">+</t>
        </is>
      </c>
      <c r="J792" s="4">
        <v>1.334</v>
      </c>
    </row>
    <row r="793">
      <c r="A793" s="6" t="inlineStr">
        <is>
          <t xml:space="preserve">HRD-177-26S052587</t>
        </is>
      </c>
      <c r="B793" s="7" t="inlineStr">
        <is>
          <t xml:space="preserve">HRD-177-26S052587</t>
        </is>
      </c>
      <c r="C793" s="7" t="inlineStr">
        <is>
          <t xml:space="preserve">AHL3NVDRX7_1</t>
        </is>
      </c>
      <c r="D793" s="19" t="inlineStr">
        <is>
          <t xml:space="preserve">W0801_RAD51B_E10</t>
        </is>
      </c>
      <c r="E793" s="2">
        <v>4159</v>
      </c>
      <c r="F793" s="20" t="inlineStr">
        <is>
          <t xml:space="preserve">+</t>
        </is>
      </c>
      <c r="G793" s="4">
        <v>1.367</v>
      </c>
      <c r="H793" s="2">
        <v>2796</v>
      </c>
      <c r="I793" s="9" t="inlineStr">
        <is>
          <t xml:space="preserve">+</t>
        </is>
      </c>
      <c r="J793" s="4">
        <v>1.261</v>
      </c>
    </row>
    <row r="794">
      <c r="A794" s="6" t="inlineStr">
        <is>
          <t xml:space="preserve">HRD-177-26S052587</t>
        </is>
      </c>
      <c r="B794" s="7" t="inlineStr">
        <is>
          <t xml:space="preserve">HRD-177-26S052587</t>
        </is>
      </c>
      <c r="C794" s="7" t="inlineStr">
        <is>
          <t xml:space="preserve">AHL3NVDRX7_1</t>
        </is>
      </c>
      <c r="D794" s="19" t="inlineStr">
        <is>
          <t xml:space="preserve">W0802_RAD51B_E11</t>
        </is>
      </c>
      <c r="E794" s="2">
        <v>973</v>
      </c>
      <c r="F794" s="20" t="inlineStr">
        <is>
          <t xml:space="preserve">+</t>
        </is>
      </c>
      <c r="G794" s="4">
        <v>0.32</v>
      </c>
      <c r="H794" s="2">
        <v>702</v>
      </c>
      <c r="I794" s="9" t="inlineStr">
        <is>
          <t xml:space="preserve">+</t>
        </is>
      </c>
      <c r="J794" s="4">
        <v>0.317</v>
      </c>
    </row>
    <row r="795">
      <c r="A795" s="6" t="inlineStr">
        <is>
          <t xml:space="preserve">HRD-177-26S052587</t>
        </is>
      </c>
      <c r="B795" s="7" t="inlineStr">
        <is>
          <t xml:space="preserve">HRD-177-26S052587</t>
        </is>
      </c>
      <c r="C795" s="7" t="inlineStr">
        <is>
          <t xml:space="preserve">AHL3NVDRX7_1</t>
        </is>
      </c>
      <c r="D795" s="19" t="inlineStr">
        <is>
          <t xml:space="preserve">W0803_RAD51B_E11</t>
        </is>
      </c>
      <c r="E795" s="2">
        <v>537</v>
      </c>
      <c r="F795" s="20" t="inlineStr">
        <is>
          <t xml:space="preserve">-</t>
        </is>
      </c>
      <c r="G795" s="4">
        <v>0.176</v>
      </c>
      <c r="H795" s="2">
        <v>407</v>
      </c>
      <c r="I795" s="9" t="inlineStr">
        <is>
          <t xml:space="preserve">-</t>
        </is>
      </c>
      <c r="J795" s="4">
        <v>0.184</v>
      </c>
    </row>
    <row r="796">
      <c r="A796" s="6" t="inlineStr">
        <is>
          <t xml:space="preserve">HRD-177-26S052587</t>
        </is>
      </c>
      <c r="B796" s="7" t="inlineStr">
        <is>
          <t xml:space="preserve">HRD-177-26S052587</t>
        </is>
      </c>
      <c r="C796" s="7" t="inlineStr">
        <is>
          <t xml:space="preserve">AHL3NVDRX7_1</t>
        </is>
      </c>
      <c r="D796" s="19" t="inlineStr">
        <is>
          <t xml:space="preserve">W0805_RAD51C_E01</t>
        </is>
      </c>
      <c r="E796" s="2">
        <v>919</v>
      </c>
      <c r="F796" s="20" t="inlineStr">
        <is>
          <t xml:space="preserve">+</t>
        </is>
      </c>
      <c r="G796" s="4">
        <v>0.302</v>
      </c>
      <c r="H796" s="2">
        <v>677</v>
      </c>
      <c r="I796" s="9" t="inlineStr">
        <is>
          <t xml:space="preserve">+</t>
        </is>
      </c>
      <c r="J796" s="4">
        <v>0.305</v>
      </c>
    </row>
    <row r="797">
      <c r="A797" s="6" t="inlineStr">
        <is>
          <t xml:space="preserve">HRD-177-26S052587</t>
        </is>
      </c>
      <c r="B797" s="7" t="inlineStr">
        <is>
          <t xml:space="preserve">HRD-177-26S052587</t>
        </is>
      </c>
      <c r="C797" s="7" t="inlineStr">
        <is>
          <t xml:space="preserve">AHL3NVDRX7_1</t>
        </is>
      </c>
      <c r="D797" s="19" t="inlineStr">
        <is>
          <t xml:space="preserve">W0806_RAD51C_E02</t>
        </is>
      </c>
      <c r="E797" s="2">
        <v>1579</v>
      </c>
      <c r="F797" s="20" t="inlineStr">
        <is>
          <t xml:space="preserve">+</t>
        </is>
      </c>
      <c r="G797" s="4">
        <v>0.519</v>
      </c>
      <c r="H797" s="2">
        <v>1260</v>
      </c>
      <c r="I797" s="9" t="inlineStr">
        <is>
          <t xml:space="preserve">+</t>
        </is>
      </c>
      <c r="J797" s="4">
        <v>0.568</v>
      </c>
    </row>
    <row r="798">
      <c r="A798" s="6" t="inlineStr">
        <is>
          <t xml:space="preserve">HRD-177-26S052587</t>
        </is>
      </c>
      <c r="B798" s="7" t="inlineStr">
        <is>
          <t xml:space="preserve">HRD-177-26S052587</t>
        </is>
      </c>
      <c r="C798" s="7" t="inlineStr">
        <is>
          <t xml:space="preserve">AHL3NVDRX7_1</t>
        </is>
      </c>
      <c r="D798" s="19" t="inlineStr">
        <is>
          <t xml:space="preserve">W0807_RAD51C_E02</t>
        </is>
      </c>
      <c r="E798" s="2">
        <v>3624</v>
      </c>
      <c r="F798" s="20" t="inlineStr">
        <is>
          <t xml:space="preserve">+</t>
        </is>
      </c>
      <c r="G798" s="4">
        <v>1.191</v>
      </c>
      <c r="H798" s="2">
        <v>2601</v>
      </c>
      <c r="I798" s="9" t="inlineStr">
        <is>
          <t xml:space="preserve">+</t>
        </is>
      </c>
      <c r="J798" s="4">
        <v>1.173</v>
      </c>
    </row>
    <row r="799">
      <c r="A799" s="6" t="inlineStr">
        <is>
          <t xml:space="preserve">HRD-177-26S052587</t>
        </is>
      </c>
      <c r="B799" s="7" t="inlineStr">
        <is>
          <t xml:space="preserve">HRD-177-26S052587</t>
        </is>
      </c>
      <c r="C799" s="7" t="inlineStr">
        <is>
          <t xml:space="preserve">AHL3NVDRX7_1</t>
        </is>
      </c>
      <c r="D799" s="19" t="inlineStr">
        <is>
          <t xml:space="preserve">W0808_RAD51C_E02</t>
        </is>
      </c>
      <c r="E799" s="2">
        <v>580</v>
      </c>
      <c r="F799" s="20" t="inlineStr">
        <is>
          <t xml:space="preserve">-</t>
        </is>
      </c>
      <c r="G799" s="4">
        <v>0.191</v>
      </c>
      <c r="H799" s="2">
        <v>477</v>
      </c>
      <c r="I799" s="9" t="inlineStr">
        <is>
          <t xml:space="preserve">+</t>
        </is>
      </c>
      <c r="J799" s="4">
        <v>0.215</v>
      </c>
    </row>
    <row r="800">
      <c r="A800" s="6" t="inlineStr">
        <is>
          <t xml:space="preserve">HRD-177-26S052587</t>
        </is>
      </c>
      <c r="B800" s="7" t="inlineStr">
        <is>
          <t xml:space="preserve">HRD-177-26S052587</t>
        </is>
      </c>
      <c r="C800" s="7" t="inlineStr">
        <is>
          <t xml:space="preserve">AHL3NVDRX7_1</t>
        </is>
      </c>
      <c r="D800" s="19" t="inlineStr">
        <is>
          <t xml:space="preserve">W0809_RAD51C_E03</t>
        </is>
      </c>
      <c r="E800" s="2">
        <v>2784</v>
      </c>
      <c r="F800" s="20" t="inlineStr">
        <is>
          <t xml:space="preserve">+</t>
        </is>
      </c>
      <c r="G800" s="4">
        <v>0.915</v>
      </c>
      <c r="H800" s="2">
        <v>2021</v>
      </c>
      <c r="I800" s="9" t="inlineStr">
        <is>
          <t xml:space="preserve">+</t>
        </is>
      </c>
      <c r="J800" s="4">
        <v>0.912</v>
      </c>
    </row>
    <row r="801">
      <c r="A801" s="6" t="inlineStr">
        <is>
          <t xml:space="preserve">HRD-177-26S052587</t>
        </is>
      </c>
      <c r="B801" s="7" t="inlineStr">
        <is>
          <t xml:space="preserve">HRD-177-26S052587</t>
        </is>
      </c>
      <c r="C801" s="7" t="inlineStr">
        <is>
          <t xml:space="preserve">AHL3NVDRX7_1</t>
        </is>
      </c>
      <c r="D801" s="19" t="inlineStr">
        <is>
          <t xml:space="preserve">W0810_RAD51C_E03</t>
        </is>
      </c>
      <c r="E801" s="2">
        <v>1223</v>
      </c>
      <c r="F801" s="20" t="inlineStr">
        <is>
          <t xml:space="preserve">+</t>
        </is>
      </c>
      <c r="G801" s="4">
        <v>0.402</v>
      </c>
      <c r="H801" s="2">
        <v>930</v>
      </c>
      <c r="I801" s="9" t="inlineStr">
        <is>
          <t xml:space="preserve">+</t>
        </is>
      </c>
      <c r="J801" s="4">
        <v>0.42</v>
      </c>
    </row>
    <row r="802">
      <c r="A802" s="6" t="inlineStr">
        <is>
          <t xml:space="preserve">HRD-177-26S052587</t>
        </is>
      </c>
      <c r="B802" s="7" t="inlineStr">
        <is>
          <t xml:space="preserve">HRD-177-26S052587</t>
        </is>
      </c>
      <c r="C802" s="7" t="inlineStr">
        <is>
          <t xml:space="preserve">AHL3NVDRX7_1</t>
        </is>
      </c>
      <c r="D802" s="19" t="inlineStr">
        <is>
          <t xml:space="preserve">W0811_RAD51C_E04</t>
        </is>
      </c>
      <c r="E802" s="2">
        <v>2612</v>
      </c>
      <c r="F802" s="20" t="inlineStr">
        <is>
          <t xml:space="preserve">+</t>
        </is>
      </c>
      <c r="G802" s="4">
        <v>0.858</v>
      </c>
      <c r="H802" s="2">
        <v>1964</v>
      </c>
      <c r="I802" s="9" t="inlineStr">
        <is>
          <t xml:space="preserve">+</t>
        </is>
      </c>
      <c r="J802" s="4">
        <v>0.886</v>
      </c>
    </row>
    <row r="803">
      <c r="A803" s="6" t="inlineStr">
        <is>
          <t xml:space="preserve">HRD-177-26S052587</t>
        </is>
      </c>
      <c r="B803" s="7" t="inlineStr">
        <is>
          <t xml:space="preserve">HRD-177-26S052587</t>
        </is>
      </c>
      <c r="C803" s="7" t="inlineStr">
        <is>
          <t xml:space="preserve">AHL3NVDRX7_1</t>
        </is>
      </c>
      <c r="D803" s="19" t="inlineStr">
        <is>
          <t xml:space="preserve">W0812_RAD51C_E04</t>
        </is>
      </c>
      <c r="E803" s="2">
        <v>4292</v>
      </c>
      <c r="F803" s="20" t="inlineStr">
        <is>
          <t xml:space="preserve">+</t>
        </is>
      </c>
      <c r="G803" s="4">
        <v>1.411</v>
      </c>
      <c r="H803" s="2">
        <v>2983</v>
      </c>
      <c r="I803" s="9" t="inlineStr">
        <is>
          <t xml:space="preserve">+</t>
        </is>
      </c>
      <c r="J803" s="4">
        <v>1.346</v>
      </c>
    </row>
    <row r="804">
      <c r="A804" s="6" t="inlineStr">
        <is>
          <t xml:space="preserve">HRD-177-26S052587</t>
        </is>
      </c>
      <c r="B804" s="7" t="inlineStr">
        <is>
          <t xml:space="preserve">HRD-177-26S052587</t>
        </is>
      </c>
      <c r="C804" s="7" t="inlineStr">
        <is>
          <t xml:space="preserve">AHL3NVDRX7_1</t>
        </is>
      </c>
      <c r="D804" s="19" t="inlineStr">
        <is>
          <t xml:space="preserve">W0813_RAD51C_E05</t>
        </is>
      </c>
      <c r="E804" s="2">
        <v>1296</v>
      </c>
      <c r="F804" s="20" t="inlineStr">
        <is>
          <t xml:space="preserve">+</t>
        </is>
      </c>
      <c r="G804" s="4">
        <v>0.426</v>
      </c>
      <c r="H804" s="2">
        <v>1023</v>
      </c>
      <c r="I804" s="9" t="inlineStr">
        <is>
          <t xml:space="preserve">+</t>
        </is>
      </c>
      <c r="J804" s="4">
        <v>0.462</v>
      </c>
    </row>
    <row r="805">
      <c r="A805" s="6" t="inlineStr">
        <is>
          <t xml:space="preserve">HRD-177-26S052587</t>
        </is>
      </c>
      <c r="B805" s="7" t="inlineStr">
        <is>
          <t xml:space="preserve">HRD-177-26S052587</t>
        </is>
      </c>
      <c r="C805" s="7" t="inlineStr">
        <is>
          <t xml:space="preserve">AHL3NVDRX7_1</t>
        </is>
      </c>
      <c r="D805" s="19" t="inlineStr">
        <is>
          <t xml:space="preserve">W0814_RAD51C_E05</t>
        </is>
      </c>
      <c r="E805" s="2">
        <v>1913</v>
      </c>
      <c r="F805" s="20" t="inlineStr">
        <is>
          <t xml:space="preserve">+</t>
        </is>
      </c>
      <c r="G805" s="4">
        <v>0.629</v>
      </c>
      <c r="H805" s="2">
        <v>1427</v>
      </c>
      <c r="I805" s="9" t="inlineStr">
        <is>
          <t xml:space="preserve">+</t>
        </is>
      </c>
      <c r="J805" s="4">
        <v>0.644</v>
      </c>
    </row>
    <row r="806">
      <c r="A806" s="6" t="inlineStr">
        <is>
          <t xml:space="preserve">HRD-177-26S052587</t>
        </is>
      </c>
      <c r="B806" s="7" t="inlineStr">
        <is>
          <t xml:space="preserve">HRD-177-26S052587</t>
        </is>
      </c>
      <c r="C806" s="7" t="inlineStr">
        <is>
          <t xml:space="preserve">AHL3NVDRX7_1</t>
        </is>
      </c>
      <c r="D806" s="19" t="inlineStr">
        <is>
          <t xml:space="preserve">W0815_RAD51C_E06</t>
        </is>
      </c>
      <c r="E806" s="2">
        <v>2529</v>
      </c>
      <c r="F806" s="20" t="inlineStr">
        <is>
          <t xml:space="preserve">+</t>
        </is>
      </c>
      <c r="G806" s="4">
        <v>0.831</v>
      </c>
      <c r="H806" s="2">
        <v>1920</v>
      </c>
      <c r="I806" s="9" t="inlineStr">
        <is>
          <t xml:space="preserve">+</t>
        </is>
      </c>
      <c r="J806" s="4">
        <v>0.866</v>
      </c>
    </row>
    <row r="807">
      <c r="A807" s="6" t="inlineStr">
        <is>
          <t xml:space="preserve">HRD-177-26S052587</t>
        </is>
      </c>
      <c r="B807" s="7" t="inlineStr">
        <is>
          <t xml:space="preserve">HRD-177-26S052587</t>
        </is>
      </c>
      <c r="C807" s="7" t="inlineStr">
        <is>
          <t xml:space="preserve">AHL3NVDRX7_1</t>
        </is>
      </c>
      <c r="D807" s="19" t="inlineStr">
        <is>
          <t xml:space="preserve">W0816_RAD51C_E06</t>
        </is>
      </c>
      <c r="E807" s="2">
        <v>2518</v>
      </c>
      <c r="F807" s="20" t="inlineStr">
        <is>
          <t xml:space="preserve">+</t>
        </is>
      </c>
      <c r="G807" s="4">
        <v>0.828</v>
      </c>
      <c r="H807" s="2">
        <v>1868</v>
      </c>
      <c r="I807" s="9" t="inlineStr">
        <is>
          <t xml:space="preserve">+</t>
        </is>
      </c>
      <c r="J807" s="4">
        <v>0.843</v>
      </c>
    </row>
    <row r="808">
      <c r="A808" s="6" t="inlineStr">
        <is>
          <t xml:space="preserve">HRD-177-26S052587</t>
        </is>
      </c>
      <c r="B808" s="7" t="inlineStr">
        <is>
          <t xml:space="preserve">HRD-177-26S052587</t>
        </is>
      </c>
      <c r="C808" s="7" t="inlineStr">
        <is>
          <t xml:space="preserve">AHL3NVDRX7_1</t>
        </is>
      </c>
      <c r="D808" s="19" t="inlineStr">
        <is>
          <t xml:space="preserve">W0817_RAD51C_E07</t>
        </is>
      </c>
      <c r="E808" s="2">
        <v>4498</v>
      </c>
      <c r="F808" s="20" t="inlineStr">
        <is>
          <t xml:space="preserve">+</t>
        </is>
      </c>
      <c r="G808" s="4">
        <v>1.478</v>
      </c>
      <c r="H808" s="2">
        <v>3168</v>
      </c>
      <c r="I808" s="9" t="inlineStr">
        <is>
          <t xml:space="preserve">+</t>
        </is>
      </c>
      <c r="J808" s="4">
        <v>1.429</v>
      </c>
    </row>
    <row r="809">
      <c r="A809" s="6" t="inlineStr">
        <is>
          <t xml:space="preserve">HRD-177-26S052587</t>
        </is>
      </c>
      <c r="B809" s="7" t="inlineStr">
        <is>
          <t xml:space="preserve">HRD-177-26S052587</t>
        </is>
      </c>
      <c r="C809" s="7" t="inlineStr">
        <is>
          <t xml:space="preserve">AHL3NVDRX7_1</t>
        </is>
      </c>
      <c r="D809" s="19" t="inlineStr">
        <is>
          <t xml:space="preserve">W0818_RAD51C_E07</t>
        </is>
      </c>
      <c r="E809" s="2">
        <v>6053</v>
      </c>
      <c r="F809" s="20" t="inlineStr">
        <is>
          <t xml:space="preserve">+</t>
        </is>
      </c>
      <c r="G809" s="4">
        <v>1.989</v>
      </c>
      <c r="H809" s="2">
        <v>4223</v>
      </c>
      <c r="I809" s="9" t="inlineStr">
        <is>
          <t xml:space="preserve">+</t>
        </is>
      </c>
      <c r="J809" s="4">
        <v>1.905</v>
      </c>
    </row>
    <row r="810">
      <c r="A810" s="6" t="inlineStr">
        <is>
          <t xml:space="preserve">HRD-177-26S052587</t>
        </is>
      </c>
      <c r="B810" s="7" t="inlineStr">
        <is>
          <t xml:space="preserve">HRD-177-26S052587</t>
        </is>
      </c>
      <c r="C810" s="7" t="inlineStr">
        <is>
          <t xml:space="preserve">AHL3NVDRX7_1</t>
        </is>
      </c>
      <c r="D810" s="19" t="inlineStr">
        <is>
          <t xml:space="preserve">W0819_RAD51C_E08</t>
        </is>
      </c>
      <c r="E810" s="2">
        <v>4021</v>
      </c>
      <c r="F810" s="20" t="inlineStr">
        <is>
          <t xml:space="preserve">+</t>
        </is>
      </c>
      <c r="G810" s="4">
        <v>1.321</v>
      </c>
      <c r="H810" s="2">
        <v>2821</v>
      </c>
      <c r="I810" s="9" t="inlineStr">
        <is>
          <t xml:space="preserve">+</t>
        </is>
      </c>
      <c r="J810" s="4">
        <v>1.273</v>
      </c>
    </row>
    <row r="811">
      <c r="A811" s="6" t="inlineStr">
        <is>
          <t xml:space="preserve">HRD-177-26S052587</t>
        </is>
      </c>
      <c r="B811" s="7" t="inlineStr">
        <is>
          <t xml:space="preserve">HRD-177-26S052587</t>
        </is>
      </c>
      <c r="C811" s="7" t="inlineStr">
        <is>
          <t xml:space="preserve">AHL3NVDRX7_1</t>
        </is>
      </c>
      <c r="D811" s="19" t="inlineStr">
        <is>
          <t xml:space="preserve">W0820_RAD51C_E08</t>
        </is>
      </c>
      <c r="E811" s="2">
        <v>5413</v>
      </c>
      <c r="F811" s="20" t="inlineStr">
        <is>
          <t xml:space="preserve">+</t>
        </is>
      </c>
      <c r="G811" s="4">
        <v>1.779</v>
      </c>
      <c r="H811" s="2">
        <v>3724</v>
      </c>
      <c r="I811" s="9" t="inlineStr">
        <is>
          <t xml:space="preserve">+</t>
        </is>
      </c>
      <c r="J811" s="4">
        <v>1.68</v>
      </c>
    </row>
    <row r="812">
      <c r="A812" s="6" t="inlineStr">
        <is>
          <t xml:space="preserve">HRD-177-26S052587</t>
        </is>
      </c>
      <c r="B812" s="7" t="inlineStr">
        <is>
          <t xml:space="preserve">HRD-177-26S052587</t>
        </is>
      </c>
      <c r="C812" s="7" t="inlineStr">
        <is>
          <t xml:space="preserve">AHL3NVDRX7_1</t>
        </is>
      </c>
      <c r="D812" s="19" t="inlineStr">
        <is>
          <t xml:space="preserve">W0821_RAD51C_E09</t>
        </is>
      </c>
      <c r="E812" s="2">
        <v>3045</v>
      </c>
      <c r="F812" s="20" t="inlineStr">
        <is>
          <t xml:space="preserve">+</t>
        </is>
      </c>
      <c r="G812" s="4">
        <v>1.001</v>
      </c>
      <c r="H812" s="2">
        <v>2230</v>
      </c>
      <c r="I812" s="9" t="inlineStr">
        <is>
          <t xml:space="preserve">+</t>
        </is>
      </c>
      <c r="J812" s="4">
        <v>1.006</v>
      </c>
    </row>
    <row r="813">
      <c r="A813" s="6" t="inlineStr">
        <is>
          <t xml:space="preserve">HRD-177-26S052587</t>
        </is>
      </c>
      <c r="B813" s="7" t="inlineStr">
        <is>
          <t xml:space="preserve">HRD-177-26S052587</t>
        </is>
      </c>
      <c r="C813" s="7" t="inlineStr">
        <is>
          <t xml:space="preserve">AHL3NVDRX7_1</t>
        </is>
      </c>
      <c r="D813" s="19" t="inlineStr">
        <is>
          <t xml:space="preserve">W0822_RAD51C_E09</t>
        </is>
      </c>
      <c r="E813" s="2">
        <v>2088</v>
      </c>
      <c r="F813" s="20" t="inlineStr">
        <is>
          <t xml:space="preserve">+</t>
        </is>
      </c>
      <c r="G813" s="4">
        <v>0.686</v>
      </c>
      <c r="H813" s="2">
        <v>1557</v>
      </c>
      <c r="I813" s="9" t="inlineStr">
        <is>
          <t xml:space="preserve">+</t>
        </is>
      </c>
      <c r="J813" s="4">
        <v>0.702</v>
      </c>
    </row>
    <row r="814">
      <c r="A814" s="6" t="inlineStr">
        <is>
          <t xml:space="preserve">HRD-177-26S052587</t>
        </is>
      </c>
      <c r="B814" s="7" t="inlineStr">
        <is>
          <t xml:space="preserve">HRD-177-26S052587</t>
        </is>
      </c>
      <c r="C814" s="7" t="inlineStr">
        <is>
          <t xml:space="preserve">AHL3NVDRX7_1</t>
        </is>
      </c>
      <c r="D814" s="19" t="inlineStr">
        <is>
          <t xml:space="preserve">W0823_RAD51D_E07-06</t>
        </is>
      </c>
      <c r="E814" s="2">
        <v>1519</v>
      </c>
      <c r="F814" s="20" t="inlineStr">
        <is>
          <t xml:space="preserve">+</t>
        </is>
      </c>
      <c r="G814" s="4">
        <v>0.499</v>
      </c>
      <c r="H814" s="2">
        <v>1140</v>
      </c>
      <c r="I814" s="9" t="inlineStr">
        <is>
          <t xml:space="preserve">+</t>
        </is>
      </c>
      <c r="J814" s="4">
        <v>0.514</v>
      </c>
    </row>
    <row r="815">
      <c r="A815" s="6" t="inlineStr">
        <is>
          <t xml:space="preserve">HRD-177-26S052587</t>
        </is>
      </c>
      <c r="B815" s="7" t="inlineStr">
        <is>
          <t xml:space="preserve">HRD-177-26S052587</t>
        </is>
      </c>
      <c r="C815" s="7" t="inlineStr">
        <is>
          <t xml:space="preserve">AHL3NVDRX7_1</t>
        </is>
      </c>
      <c r="D815" s="19" t="inlineStr">
        <is>
          <t xml:space="preserve">W0824_RAD51D_E07-06</t>
        </is>
      </c>
      <c r="E815" s="2">
        <v>1534</v>
      </c>
      <c r="F815" s="20" t="inlineStr">
        <is>
          <t xml:space="preserve">+</t>
        </is>
      </c>
      <c r="G815" s="4">
        <v>0.504</v>
      </c>
      <c r="H815" s="2">
        <v>1138</v>
      </c>
      <c r="I815" s="9" t="inlineStr">
        <is>
          <t xml:space="preserve">+</t>
        </is>
      </c>
      <c r="J815" s="4">
        <v>0.513</v>
      </c>
    </row>
    <row r="816">
      <c r="A816" s="6" t="inlineStr">
        <is>
          <t xml:space="preserve">HRD-177-26S052587</t>
        </is>
      </c>
      <c r="B816" s="7" t="inlineStr">
        <is>
          <t xml:space="preserve">HRD-177-26S052587</t>
        </is>
      </c>
      <c r="C816" s="7" t="inlineStr">
        <is>
          <t xml:space="preserve">AHL3NVDRX7_1</t>
        </is>
      </c>
      <c r="D816" s="19" t="inlineStr">
        <is>
          <t xml:space="preserve">W0825_RAD51D_E07-06</t>
        </is>
      </c>
      <c r="E816" s="2">
        <v>1751</v>
      </c>
      <c r="F816" s="20" t="inlineStr">
        <is>
          <t xml:space="preserve">+</t>
        </is>
      </c>
      <c r="G816" s="4">
        <v>0.575</v>
      </c>
      <c r="H816" s="2">
        <v>1253</v>
      </c>
      <c r="I816" s="9" t="inlineStr">
        <is>
          <t xml:space="preserve">+</t>
        </is>
      </c>
      <c r="J816" s="4">
        <v>0.565</v>
      </c>
    </row>
    <row r="817">
      <c r="A817" s="6" t="inlineStr">
        <is>
          <t xml:space="preserve">HRD-177-26S052587</t>
        </is>
      </c>
      <c r="B817" s="7" t="inlineStr">
        <is>
          <t xml:space="preserve">HRD-177-26S052587</t>
        </is>
      </c>
      <c r="C817" s="7" t="inlineStr">
        <is>
          <t xml:space="preserve">AHL3NVDRX7_1</t>
        </is>
      </c>
      <c r="D817" s="19" t="inlineStr">
        <is>
          <t xml:space="preserve">W0826_RAD51D_E07-06</t>
        </is>
      </c>
      <c r="E817" s="2">
        <v>1560</v>
      </c>
      <c r="F817" s="20" t="inlineStr">
        <is>
          <t xml:space="preserve">+</t>
        </is>
      </c>
      <c r="G817" s="4">
        <v>0.513</v>
      </c>
      <c r="H817" s="2">
        <v>1174</v>
      </c>
      <c r="I817" s="9" t="inlineStr">
        <is>
          <t xml:space="preserve">+</t>
        </is>
      </c>
      <c r="J817" s="4">
        <v>0.53</v>
      </c>
    </row>
    <row r="818">
      <c r="A818" s="6" t="inlineStr">
        <is>
          <t xml:space="preserve">HRD-177-26S052587</t>
        </is>
      </c>
      <c r="B818" s="7" t="inlineStr">
        <is>
          <t xml:space="preserve">HRD-177-26S052587</t>
        </is>
      </c>
      <c r="C818" s="7" t="inlineStr">
        <is>
          <t xml:space="preserve">AHL3NVDRX7_1</t>
        </is>
      </c>
      <c r="D818" s="19" t="inlineStr">
        <is>
          <t xml:space="preserve">W0827_RAD51D_E05-04</t>
        </is>
      </c>
      <c r="E818" s="2">
        <v>1813</v>
      </c>
      <c r="F818" s="20" t="inlineStr">
        <is>
          <t xml:space="preserve">+</t>
        </is>
      </c>
      <c r="G818" s="4">
        <v>0.596</v>
      </c>
      <c r="H818" s="2">
        <v>1261</v>
      </c>
      <c r="I818" s="9" t="inlineStr">
        <is>
          <t xml:space="preserve">+</t>
        </is>
      </c>
      <c r="J818" s="4">
        <v>0.569</v>
      </c>
    </row>
    <row r="819">
      <c r="A819" s="6" t="inlineStr">
        <is>
          <t xml:space="preserve">HRD-177-26S052587</t>
        </is>
      </c>
      <c r="B819" s="7" t="inlineStr">
        <is>
          <t xml:space="preserve">HRD-177-26S052587</t>
        </is>
      </c>
      <c r="C819" s="7" t="inlineStr">
        <is>
          <t xml:space="preserve">AHL3NVDRX7_1</t>
        </is>
      </c>
      <c r="D819" s="19" t="inlineStr">
        <is>
          <t xml:space="preserve">W0828_RAD51D_E05-04</t>
        </is>
      </c>
      <c r="E819" s="2">
        <v>1174</v>
      </c>
      <c r="F819" s="20" t="inlineStr">
        <is>
          <t xml:space="preserve">+</t>
        </is>
      </c>
      <c r="G819" s="4">
        <v>0.386</v>
      </c>
      <c r="H819" s="2">
        <v>856</v>
      </c>
      <c r="I819" s="9" t="inlineStr">
        <is>
          <t xml:space="preserve">+</t>
        </is>
      </c>
      <c r="J819" s="4">
        <v>0.386</v>
      </c>
    </row>
    <row r="820">
      <c r="A820" s="6" t="inlineStr">
        <is>
          <t xml:space="preserve">HRD-177-26S052587</t>
        </is>
      </c>
      <c r="B820" s="7" t="inlineStr">
        <is>
          <t xml:space="preserve">HRD-177-26S052587</t>
        </is>
      </c>
      <c r="C820" s="7" t="inlineStr">
        <is>
          <t xml:space="preserve">AHL3NVDRX7_1</t>
        </is>
      </c>
      <c r="D820" s="19" t="inlineStr">
        <is>
          <t xml:space="preserve">W0829_RAD51D_E05-04</t>
        </is>
      </c>
      <c r="E820" s="2">
        <v>1599</v>
      </c>
      <c r="F820" s="20" t="inlineStr">
        <is>
          <t xml:space="preserve">+</t>
        </is>
      </c>
      <c r="G820" s="4">
        <v>0.526</v>
      </c>
      <c r="H820" s="2">
        <v>1156</v>
      </c>
      <c r="I820" s="9" t="inlineStr">
        <is>
          <t xml:space="preserve">+</t>
        </is>
      </c>
      <c r="J820" s="4">
        <v>0.522</v>
      </c>
    </row>
    <row r="821">
      <c r="A821" s="6" t="inlineStr">
        <is>
          <t xml:space="preserve">HRD-177-26S052587</t>
        </is>
      </c>
      <c r="B821" s="7" t="inlineStr">
        <is>
          <t xml:space="preserve">HRD-177-26S052587</t>
        </is>
      </c>
      <c r="C821" s="7" t="inlineStr">
        <is>
          <t xml:space="preserve">AHL3NVDRX7_1</t>
        </is>
      </c>
      <c r="D821" s="19" t="inlineStr">
        <is>
          <t xml:space="preserve">W0830_RAD51D_E03</t>
        </is>
      </c>
      <c r="E821" s="2">
        <v>1981</v>
      </c>
      <c r="F821" s="20" t="inlineStr">
        <is>
          <t xml:space="preserve">+</t>
        </is>
      </c>
      <c r="G821" s="4">
        <v>0.651</v>
      </c>
      <c r="H821" s="2">
        <v>1316</v>
      </c>
      <c r="I821" s="9" t="inlineStr">
        <is>
          <t xml:space="preserve">+</t>
        </is>
      </c>
      <c r="J821" s="4">
        <v>0.594</v>
      </c>
    </row>
    <row r="822">
      <c r="A822" s="6" t="inlineStr">
        <is>
          <t xml:space="preserve">HRD-177-26S052587</t>
        </is>
      </c>
      <c r="B822" s="7" t="inlineStr">
        <is>
          <t xml:space="preserve">HRD-177-26S052587</t>
        </is>
      </c>
      <c r="C822" s="7" t="inlineStr">
        <is>
          <t xml:space="preserve">AHL3NVDRX7_1</t>
        </is>
      </c>
      <c r="D822" s="19" t="inlineStr">
        <is>
          <t xml:space="preserve">W0831_RAD51D_E03</t>
        </is>
      </c>
      <c r="E822" s="2">
        <v>1594</v>
      </c>
      <c r="F822" s="20" t="inlineStr">
        <is>
          <t xml:space="preserve">+</t>
        </is>
      </c>
      <c r="G822" s="4">
        <v>0.524</v>
      </c>
      <c r="H822" s="2">
        <v>1031</v>
      </c>
      <c r="I822" s="9" t="inlineStr">
        <is>
          <t xml:space="preserve">+</t>
        </is>
      </c>
      <c r="J822" s="4">
        <v>0.465</v>
      </c>
    </row>
    <row r="823">
      <c r="A823" s="6" t="inlineStr">
        <is>
          <t xml:space="preserve">HRD-177-26S052587</t>
        </is>
      </c>
      <c r="B823" s="7" t="inlineStr">
        <is>
          <t xml:space="preserve">HRD-177-26S052587</t>
        </is>
      </c>
      <c r="C823" s="7" t="inlineStr">
        <is>
          <t xml:space="preserve">AHL3NVDRX7_1</t>
        </is>
      </c>
      <c r="D823" s="19" t="inlineStr">
        <is>
          <t xml:space="preserve">W0832_RAD51D_E02</t>
        </is>
      </c>
      <c r="E823" s="2">
        <v>2022</v>
      </c>
      <c r="F823" s="20" t="inlineStr">
        <is>
          <t xml:space="preserve">+</t>
        </is>
      </c>
      <c r="G823" s="4">
        <v>0.665</v>
      </c>
      <c r="H823" s="2">
        <v>1459</v>
      </c>
      <c r="I823" s="9" t="inlineStr">
        <is>
          <t xml:space="preserve">+</t>
        </is>
      </c>
      <c r="J823" s="4">
        <v>0.658</v>
      </c>
    </row>
    <row r="824">
      <c r="A824" s="6" t="inlineStr">
        <is>
          <t xml:space="preserve">HRD-177-26S052587</t>
        </is>
      </c>
      <c r="B824" s="7" t="inlineStr">
        <is>
          <t xml:space="preserve">HRD-177-26S052587</t>
        </is>
      </c>
      <c r="C824" s="7" t="inlineStr">
        <is>
          <t xml:space="preserve">AHL3NVDRX7_1</t>
        </is>
      </c>
      <c r="D824" s="19" t="inlineStr">
        <is>
          <t xml:space="preserve">W0833_RAD51D_E02</t>
        </is>
      </c>
      <c r="E824" s="2">
        <v>1907</v>
      </c>
      <c r="F824" s="20" t="inlineStr">
        <is>
          <t xml:space="preserve">+</t>
        </is>
      </c>
      <c r="G824" s="4">
        <v>0.627</v>
      </c>
      <c r="H824" s="2">
        <v>1266</v>
      </c>
      <c r="I824" s="9" t="inlineStr">
        <is>
          <t xml:space="preserve">+</t>
        </is>
      </c>
      <c r="J824" s="4">
        <v>0.571</v>
      </c>
    </row>
    <row r="825">
      <c r="A825" s="6" t="inlineStr">
        <is>
          <t xml:space="preserve">HRD-177-26S052587</t>
        </is>
      </c>
      <c r="B825" s="7" t="inlineStr">
        <is>
          <t xml:space="preserve">HRD-177-26S052587</t>
        </is>
      </c>
      <c r="C825" s="7" t="inlineStr">
        <is>
          <t xml:space="preserve">AHL3NVDRX7_1</t>
        </is>
      </c>
      <c r="D825" s="19" t="inlineStr">
        <is>
          <t xml:space="preserve">W0834_RAD51D_E01</t>
        </is>
      </c>
      <c r="E825" s="2">
        <v>976</v>
      </c>
      <c r="F825" s="20" t="inlineStr">
        <is>
          <t xml:space="preserve">+</t>
        </is>
      </c>
      <c r="G825" s="4">
        <v>0.321</v>
      </c>
      <c r="H825" s="2">
        <v>713</v>
      </c>
      <c r="I825" s="9" t="inlineStr">
        <is>
          <t xml:space="preserve">+</t>
        </is>
      </c>
      <c r="J825" s="4">
        <v>0.322</v>
      </c>
    </row>
    <row r="826">
      <c r="A826" s="6" t="inlineStr">
        <is>
          <t xml:space="preserve">HRD-177-26S052587</t>
        </is>
      </c>
      <c r="B826" s="7" t="inlineStr">
        <is>
          <t xml:space="preserve">HRD-177-26S052587</t>
        </is>
      </c>
      <c r="C826" s="7" t="inlineStr">
        <is>
          <t xml:space="preserve">AHL3NVDRX7_1</t>
        </is>
      </c>
      <c r="D826" s="19" t="inlineStr">
        <is>
          <t xml:space="preserve">W0835_RAD51D_E01</t>
        </is>
      </c>
      <c r="E826" s="2">
        <v>588</v>
      </c>
      <c r="F826" s="20" t="inlineStr">
        <is>
          <t xml:space="preserve">-</t>
        </is>
      </c>
      <c r="G826" s="4">
        <v>0.193</v>
      </c>
      <c r="H826" s="2">
        <v>411</v>
      </c>
      <c r="I826" s="9" t="inlineStr">
        <is>
          <t xml:space="preserve">-</t>
        </is>
      </c>
      <c r="J826" s="4">
        <v>0.185</v>
      </c>
    </row>
    <row r="827">
      <c r="A827" s="6" t="inlineStr">
        <is>
          <t xml:space="preserve">HRD-177-26S052587</t>
        </is>
      </c>
      <c r="B827" s="7" t="inlineStr">
        <is>
          <t xml:space="preserve">HRD-177-26S052587</t>
        </is>
      </c>
      <c r="C827" s="7" t="inlineStr">
        <is>
          <t xml:space="preserve">AHL3NVDRX7_1</t>
        </is>
      </c>
      <c r="D827" s="19" t="inlineStr">
        <is>
          <t xml:space="preserve">W0836_RAD54L_E02-03</t>
        </is>
      </c>
      <c r="E827" s="2">
        <v>1949</v>
      </c>
      <c r="F827" s="20" t="inlineStr">
        <is>
          <t xml:space="preserve">+</t>
        </is>
      </c>
      <c r="G827" s="4">
        <v>0.641</v>
      </c>
      <c r="H827" s="2">
        <v>1426</v>
      </c>
      <c r="I827" s="9" t="inlineStr">
        <is>
          <t xml:space="preserve">+</t>
        </is>
      </c>
      <c r="J827" s="4">
        <v>0.643</v>
      </c>
    </row>
    <row r="828">
      <c r="A828" s="6" t="inlineStr">
        <is>
          <t xml:space="preserve">HRD-177-26S052587</t>
        </is>
      </c>
      <c r="B828" s="7" t="inlineStr">
        <is>
          <t xml:space="preserve">HRD-177-26S052587</t>
        </is>
      </c>
      <c r="C828" s="7" t="inlineStr">
        <is>
          <t xml:space="preserve">AHL3NVDRX7_1</t>
        </is>
      </c>
      <c r="D828" s="19" t="inlineStr">
        <is>
          <t xml:space="preserve">W0837_RAD54L_E02-03</t>
        </is>
      </c>
      <c r="E828" s="2">
        <v>1724</v>
      </c>
      <c r="F828" s="20" t="inlineStr">
        <is>
          <t xml:space="preserve">+</t>
        </is>
      </c>
      <c r="G828" s="4">
        <v>0.567</v>
      </c>
      <c r="H828" s="2">
        <v>1255</v>
      </c>
      <c r="I828" s="9" t="inlineStr">
        <is>
          <t xml:space="preserve">+</t>
        </is>
      </c>
      <c r="J828" s="4">
        <v>0.566</v>
      </c>
    </row>
    <row r="829">
      <c r="A829" s="6" t="inlineStr">
        <is>
          <t xml:space="preserve">HRD-177-26S052587</t>
        </is>
      </c>
      <c r="B829" s="7" t="inlineStr">
        <is>
          <t xml:space="preserve">HRD-177-26S052587</t>
        </is>
      </c>
      <c r="C829" s="7" t="inlineStr">
        <is>
          <t xml:space="preserve">AHL3NVDRX7_1</t>
        </is>
      </c>
      <c r="D829" s="19" t="inlineStr">
        <is>
          <t xml:space="preserve">W0838_RAD54L_E04</t>
        </is>
      </c>
      <c r="E829" s="2">
        <v>2407</v>
      </c>
      <c r="F829" s="20" t="inlineStr">
        <is>
          <t xml:space="preserve">+</t>
        </is>
      </c>
      <c r="G829" s="4">
        <v>0.791</v>
      </c>
      <c r="H829" s="2">
        <v>1756</v>
      </c>
      <c r="I829" s="9" t="inlineStr">
        <is>
          <t xml:space="preserve">+</t>
        </is>
      </c>
      <c r="J829" s="4">
        <v>0.792</v>
      </c>
    </row>
    <row r="830">
      <c r="A830" s="6" t="inlineStr">
        <is>
          <t xml:space="preserve">HRD-177-26S052587</t>
        </is>
      </c>
      <c r="B830" s="7" t="inlineStr">
        <is>
          <t xml:space="preserve">HRD-177-26S052587</t>
        </is>
      </c>
      <c r="C830" s="7" t="inlineStr">
        <is>
          <t xml:space="preserve">AHL3NVDRX7_1</t>
        </is>
      </c>
      <c r="D830" s="19" t="inlineStr">
        <is>
          <t xml:space="preserve">W0839_RAD54L_E04</t>
        </is>
      </c>
      <c r="E830" s="2">
        <v>3738</v>
      </c>
      <c r="F830" s="20" t="inlineStr">
        <is>
          <t xml:space="preserve">+</t>
        </is>
      </c>
      <c r="G830" s="4">
        <v>1.228</v>
      </c>
      <c r="H830" s="2">
        <v>2519</v>
      </c>
      <c r="I830" s="9" t="inlineStr">
        <is>
          <t xml:space="preserve">+</t>
        </is>
      </c>
      <c r="J830" s="4">
        <v>1.136</v>
      </c>
    </row>
    <row r="831">
      <c r="A831" s="6" t="inlineStr">
        <is>
          <t xml:space="preserve">HRD-177-26S052587</t>
        </is>
      </c>
      <c r="B831" s="7" t="inlineStr">
        <is>
          <t xml:space="preserve">HRD-177-26S052587</t>
        </is>
      </c>
      <c r="C831" s="7" t="inlineStr">
        <is>
          <t xml:space="preserve">AHL3NVDRX7_1</t>
        </is>
      </c>
      <c r="D831" s="19" t="inlineStr">
        <is>
          <t xml:space="preserve">W0840_RAD54L_E05</t>
        </is>
      </c>
      <c r="E831" s="2">
        <v>2985</v>
      </c>
      <c r="F831" s="20" t="inlineStr">
        <is>
          <t xml:space="preserve">+</t>
        </is>
      </c>
      <c r="G831" s="4">
        <v>0.981</v>
      </c>
      <c r="H831" s="2">
        <v>2218</v>
      </c>
      <c r="I831" s="9" t="inlineStr">
        <is>
          <t xml:space="preserve">+</t>
        </is>
      </c>
      <c r="J831" s="4">
        <v>1.001</v>
      </c>
    </row>
    <row r="832">
      <c r="A832" s="6" t="inlineStr">
        <is>
          <t xml:space="preserve">HRD-177-26S052587</t>
        </is>
      </c>
      <c r="B832" s="7" t="inlineStr">
        <is>
          <t xml:space="preserve">HRD-177-26S052587</t>
        </is>
      </c>
      <c r="C832" s="7" t="inlineStr">
        <is>
          <t xml:space="preserve">AHL3NVDRX7_1</t>
        </is>
      </c>
      <c r="D832" s="19" t="inlineStr">
        <is>
          <t xml:space="preserve">W0841_RAD54L_E05</t>
        </is>
      </c>
      <c r="E832" s="2">
        <v>2623</v>
      </c>
      <c r="F832" s="20" t="inlineStr">
        <is>
          <t xml:space="preserve">+</t>
        </is>
      </c>
      <c r="G832" s="4">
        <v>0.862</v>
      </c>
      <c r="H832" s="2">
        <v>1933</v>
      </c>
      <c r="I832" s="9" t="inlineStr">
        <is>
          <t xml:space="preserve">+</t>
        </is>
      </c>
      <c r="J832" s="4">
        <v>0.872</v>
      </c>
    </row>
    <row r="833">
      <c r="A833" s="6" t="inlineStr">
        <is>
          <t xml:space="preserve">HRD-177-26S052587</t>
        </is>
      </c>
      <c r="B833" s="7" t="inlineStr">
        <is>
          <t xml:space="preserve">HRD-177-26S052587</t>
        </is>
      </c>
      <c r="C833" s="7" t="inlineStr">
        <is>
          <t xml:space="preserve">AHL3NVDRX7_1</t>
        </is>
      </c>
      <c r="D833" s="19" t="inlineStr">
        <is>
          <t xml:space="preserve">W0842_RAD54L_E06</t>
        </is>
      </c>
      <c r="E833" s="2">
        <v>1789</v>
      </c>
      <c r="F833" s="20" t="inlineStr">
        <is>
          <t xml:space="preserve">+</t>
        </is>
      </c>
      <c r="G833" s="4">
        <v>0.588</v>
      </c>
      <c r="H833" s="2">
        <v>1331</v>
      </c>
      <c r="I833" s="9" t="inlineStr">
        <is>
          <t xml:space="preserve">+</t>
        </is>
      </c>
      <c r="J833" s="4">
        <v>0.6</v>
      </c>
    </row>
    <row r="834">
      <c r="A834" s="6" t="inlineStr">
        <is>
          <t xml:space="preserve">HRD-177-26S052587</t>
        </is>
      </c>
      <c r="B834" s="7" t="inlineStr">
        <is>
          <t xml:space="preserve">HRD-177-26S052587</t>
        </is>
      </c>
      <c r="C834" s="7" t="inlineStr">
        <is>
          <t xml:space="preserve">AHL3NVDRX7_1</t>
        </is>
      </c>
      <c r="D834" s="19" t="inlineStr">
        <is>
          <t xml:space="preserve">W0843_RAD54L_E06</t>
        </is>
      </c>
      <c r="E834" s="2">
        <v>2144</v>
      </c>
      <c r="F834" s="20" t="inlineStr">
        <is>
          <t xml:space="preserve">+</t>
        </is>
      </c>
      <c r="G834" s="4">
        <v>0.705</v>
      </c>
      <c r="H834" s="2">
        <v>1550</v>
      </c>
      <c r="I834" s="9" t="inlineStr">
        <is>
          <t xml:space="preserve">+</t>
        </is>
      </c>
      <c r="J834" s="4">
        <v>0.699</v>
      </c>
    </row>
    <row r="835">
      <c r="A835" s="6" t="inlineStr">
        <is>
          <t xml:space="preserve">HRD-177-26S052587</t>
        </is>
      </c>
      <c r="B835" s="7" t="inlineStr">
        <is>
          <t xml:space="preserve">HRD-177-26S052587</t>
        </is>
      </c>
      <c r="C835" s="7" t="inlineStr">
        <is>
          <t xml:space="preserve">AHL3NVDRX7_1</t>
        </is>
      </c>
      <c r="D835" s="19" t="inlineStr">
        <is>
          <t xml:space="preserve">W0844_RAD54L_E07-08</t>
        </is>
      </c>
      <c r="E835" s="2">
        <v>2549</v>
      </c>
      <c r="F835" s="20" t="inlineStr">
        <is>
          <t xml:space="preserve">+</t>
        </is>
      </c>
      <c r="G835" s="4">
        <v>0.838</v>
      </c>
      <c r="H835" s="2">
        <v>1830</v>
      </c>
      <c r="I835" s="9" t="inlineStr">
        <is>
          <t xml:space="preserve">+</t>
        </is>
      </c>
      <c r="J835" s="4">
        <v>0.826</v>
      </c>
    </row>
    <row r="836">
      <c r="A836" s="6" t="inlineStr">
        <is>
          <t xml:space="preserve">HRD-177-26S052587</t>
        </is>
      </c>
      <c r="B836" s="7" t="inlineStr">
        <is>
          <t xml:space="preserve">HRD-177-26S052587</t>
        </is>
      </c>
      <c r="C836" s="7" t="inlineStr">
        <is>
          <t xml:space="preserve">AHL3NVDRX7_1</t>
        </is>
      </c>
      <c r="D836" s="19" t="inlineStr">
        <is>
          <t xml:space="preserve">W0845_RAD54L_E07-08</t>
        </is>
      </c>
      <c r="E836" s="2">
        <v>2059</v>
      </c>
      <c r="F836" s="20" t="inlineStr">
        <is>
          <t xml:space="preserve">+</t>
        </is>
      </c>
      <c r="G836" s="4">
        <v>0.677</v>
      </c>
      <c r="H836" s="2">
        <v>1449</v>
      </c>
      <c r="I836" s="9" t="inlineStr">
        <is>
          <t xml:space="preserve">+</t>
        </is>
      </c>
      <c r="J836" s="4">
        <v>0.654</v>
      </c>
    </row>
    <row r="837">
      <c r="A837" s="6" t="inlineStr">
        <is>
          <t xml:space="preserve">HRD-177-26S052587</t>
        </is>
      </c>
      <c r="B837" s="7" t="inlineStr">
        <is>
          <t xml:space="preserve">HRD-177-26S052587</t>
        </is>
      </c>
      <c r="C837" s="7" t="inlineStr">
        <is>
          <t xml:space="preserve">AHL3NVDRX7_1</t>
        </is>
      </c>
      <c r="D837" s="19" t="inlineStr">
        <is>
          <t xml:space="preserve">W0846_RAD54L_E07-08</t>
        </is>
      </c>
      <c r="E837" s="2">
        <v>2379</v>
      </c>
      <c r="F837" s="20" t="inlineStr">
        <is>
          <t xml:space="preserve">+</t>
        </is>
      </c>
      <c r="G837" s="4">
        <v>0.782</v>
      </c>
      <c r="H837" s="2">
        <v>1646</v>
      </c>
      <c r="I837" s="9" t="inlineStr">
        <is>
          <t xml:space="preserve">+</t>
        </is>
      </c>
      <c r="J837" s="4">
        <v>0.743</v>
      </c>
    </row>
    <row r="838">
      <c r="A838" s="6" t="inlineStr">
        <is>
          <t xml:space="preserve">HRD-177-26S052587</t>
        </is>
      </c>
      <c r="B838" s="7" t="inlineStr">
        <is>
          <t xml:space="preserve">HRD-177-26S052587</t>
        </is>
      </c>
      <c r="C838" s="7" t="inlineStr">
        <is>
          <t xml:space="preserve">AHL3NVDRX7_1</t>
        </is>
      </c>
      <c r="D838" s="19" t="inlineStr">
        <is>
          <t xml:space="preserve">W0847_RAD54L_E07-08</t>
        </is>
      </c>
      <c r="E838" s="2">
        <v>2727</v>
      </c>
      <c r="F838" s="20" t="inlineStr">
        <is>
          <t xml:space="preserve">+</t>
        </is>
      </c>
      <c r="G838" s="4">
        <v>0.896</v>
      </c>
      <c r="H838" s="2">
        <v>1799</v>
      </c>
      <c r="I838" s="9" t="inlineStr">
        <is>
          <t xml:space="preserve">+</t>
        </is>
      </c>
      <c r="J838" s="4">
        <v>0.812</v>
      </c>
    </row>
    <row r="839">
      <c r="A839" s="6" t="inlineStr">
        <is>
          <t xml:space="preserve">HRD-177-26S052587</t>
        </is>
      </c>
      <c r="B839" s="7" t="inlineStr">
        <is>
          <t xml:space="preserve">HRD-177-26S052587</t>
        </is>
      </c>
      <c r="C839" s="7" t="inlineStr">
        <is>
          <t xml:space="preserve">AHL3NVDRX7_1</t>
        </is>
      </c>
      <c r="D839" s="19" t="inlineStr">
        <is>
          <t xml:space="preserve">W0848_RAD54L_E07-08</t>
        </is>
      </c>
      <c r="E839" s="2">
        <v>2236</v>
      </c>
      <c r="F839" s="20" t="inlineStr">
        <is>
          <t xml:space="preserve">+</t>
        </is>
      </c>
      <c r="G839" s="4">
        <v>0.735</v>
      </c>
      <c r="H839" s="2">
        <v>1623</v>
      </c>
      <c r="I839" s="9" t="inlineStr">
        <is>
          <t xml:space="preserve">+</t>
        </is>
      </c>
      <c r="J839" s="4">
        <v>0.732</v>
      </c>
    </row>
    <row r="840">
      <c r="A840" s="6" t="inlineStr">
        <is>
          <t xml:space="preserve">HRD-177-26S052587</t>
        </is>
      </c>
      <c r="B840" s="7" t="inlineStr">
        <is>
          <t xml:space="preserve">HRD-177-26S052587</t>
        </is>
      </c>
      <c r="C840" s="7" t="inlineStr">
        <is>
          <t xml:space="preserve">AHL3NVDRX7_1</t>
        </is>
      </c>
      <c r="D840" s="19" t="inlineStr">
        <is>
          <t xml:space="preserve">W0849_RAD54L_E09</t>
        </is>
      </c>
      <c r="E840" s="2">
        <v>2551</v>
      </c>
      <c r="F840" s="20" t="inlineStr">
        <is>
          <t xml:space="preserve">+</t>
        </is>
      </c>
      <c r="G840" s="4">
        <v>0.838</v>
      </c>
      <c r="H840" s="2">
        <v>1859</v>
      </c>
      <c r="I840" s="9" t="inlineStr">
        <is>
          <t xml:space="preserve">+</t>
        </is>
      </c>
      <c r="J840" s="4">
        <v>0.839</v>
      </c>
    </row>
    <row r="841">
      <c r="A841" s="6" t="inlineStr">
        <is>
          <t xml:space="preserve">HRD-177-26S052587</t>
        </is>
      </c>
      <c r="B841" s="7" t="inlineStr">
        <is>
          <t xml:space="preserve">HRD-177-26S052587</t>
        </is>
      </c>
      <c r="C841" s="7" t="inlineStr">
        <is>
          <t xml:space="preserve">AHL3NVDRX7_1</t>
        </is>
      </c>
      <c r="D841" s="19" t="inlineStr">
        <is>
          <t xml:space="preserve">W0850_RAD54L_E09</t>
        </is>
      </c>
      <c r="E841" s="2">
        <v>4425</v>
      </c>
      <c r="F841" s="20" t="inlineStr">
        <is>
          <t xml:space="preserve">+</t>
        </is>
      </c>
      <c r="G841" s="4">
        <v>1.454</v>
      </c>
      <c r="H841" s="2">
        <v>3031</v>
      </c>
      <c r="I841" s="9" t="inlineStr">
        <is>
          <t xml:space="preserve">+</t>
        </is>
      </c>
      <c r="J841" s="4">
        <v>1.367</v>
      </c>
    </row>
    <row r="842">
      <c r="A842" s="6" t="inlineStr">
        <is>
          <t xml:space="preserve">HRD-177-26S052587</t>
        </is>
      </c>
      <c r="B842" s="7" t="inlineStr">
        <is>
          <t xml:space="preserve">HRD-177-26S052587</t>
        </is>
      </c>
      <c r="C842" s="7" t="inlineStr">
        <is>
          <t xml:space="preserve">AHL3NVDRX7_1</t>
        </is>
      </c>
      <c r="D842" s="19" t="inlineStr">
        <is>
          <t xml:space="preserve">W0851_RAD54L_E10</t>
        </is>
      </c>
      <c r="E842" s="2">
        <v>2626</v>
      </c>
      <c r="F842" s="20" t="inlineStr">
        <is>
          <t xml:space="preserve">+</t>
        </is>
      </c>
      <c r="G842" s="4">
        <v>0.863</v>
      </c>
      <c r="H842" s="2">
        <v>1917</v>
      </c>
      <c r="I842" s="9" t="inlineStr">
        <is>
          <t xml:space="preserve">+</t>
        </is>
      </c>
      <c r="J842" s="4">
        <v>0.865</v>
      </c>
    </row>
    <row r="843">
      <c r="A843" s="6" t="inlineStr">
        <is>
          <t xml:space="preserve">HRD-177-26S052587</t>
        </is>
      </c>
      <c r="B843" s="7" t="inlineStr">
        <is>
          <t xml:space="preserve">HRD-177-26S052587</t>
        </is>
      </c>
      <c r="C843" s="7" t="inlineStr">
        <is>
          <t xml:space="preserve">AHL3NVDRX7_1</t>
        </is>
      </c>
      <c r="D843" s="19" t="inlineStr">
        <is>
          <t xml:space="preserve">W0852_RAD54L_E10</t>
        </is>
      </c>
      <c r="E843" s="2">
        <v>2811</v>
      </c>
      <c r="F843" s="20" t="inlineStr">
        <is>
          <t xml:space="preserve">+</t>
        </is>
      </c>
      <c r="G843" s="4">
        <v>0.924</v>
      </c>
      <c r="H843" s="2">
        <v>2046</v>
      </c>
      <c r="I843" s="9" t="inlineStr">
        <is>
          <t xml:space="preserve">+</t>
        </is>
      </c>
      <c r="J843" s="4">
        <v>0.923</v>
      </c>
    </row>
    <row r="844">
      <c r="A844" s="6" t="inlineStr">
        <is>
          <t xml:space="preserve">HRD-177-26S052587</t>
        </is>
      </c>
      <c r="B844" s="7" t="inlineStr">
        <is>
          <t xml:space="preserve">HRD-177-26S052587</t>
        </is>
      </c>
      <c r="C844" s="7" t="inlineStr">
        <is>
          <t xml:space="preserve">AHL3NVDRX7_1</t>
        </is>
      </c>
      <c r="D844" s="19" t="inlineStr">
        <is>
          <t xml:space="preserve">W0853_RAD54L_E11</t>
        </is>
      </c>
      <c r="E844" s="2">
        <v>2899</v>
      </c>
      <c r="F844" s="20" t="inlineStr">
        <is>
          <t xml:space="preserve">+</t>
        </is>
      </c>
      <c r="G844" s="4">
        <v>0.953</v>
      </c>
      <c r="H844" s="2">
        <v>2039</v>
      </c>
      <c r="I844" s="9" t="inlineStr">
        <is>
          <t xml:space="preserve">+</t>
        </is>
      </c>
      <c r="J844" s="4">
        <v>0.92</v>
      </c>
    </row>
    <row r="845">
      <c r="A845" s="6" t="inlineStr">
        <is>
          <t xml:space="preserve">HRD-177-26S052587</t>
        </is>
      </c>
      <c r="B845" s="7" t="inlineStr">
        <is>
          <t xml:space="preserve">HRD-177-26S052587</t>
        </is>
      </c>
      <c r="C845" s="7" t="inlineStr">
        <is>
          <t xml:space="preserve">AHL3NVDRX7_1</t>
        </is>
      </c>
      <c r="D845" s="19" t="inlineStr">
        <is>
          <t xml:space="preserve">W0854_RAD54L_E11</t>
        </is>
      </c>
      <c r="E845" s="2">
        <v>1868</v>
      </c>
      <c r="F845" s="20" t="inlineStr">
        <is>
          <t xml:space="preserve">+</t>
        </is>
      </c>
      <c r="G845" s="4">
        <v>0.614</v>
      </c>
      <c r="H845" s="2">
        <v>1410</v>
      </c>
      <c r="I845" s="9" t="inlineStr">
        <is>
          <t xml:space="preserve">+</t>
        </is>
      </c>
      <c r="J845" s="4">
        <v>0.636</v>
      </c>
    </row>
    <row r="846">
      <c r="A846" s="6" t="inlineStr">
        <is>
          <t xml:space="preserve">HRD-177-26S052587</t>
        </is>
      </c>
      <c r="B846" s="7" t="inlineStr">
        <is>
          <t xml:space="preserve">HRD-177-26S052587</t>
        </is>
      </c>
      <c r="C846" s="7" t="inlineStr">
        <is>
          <t xml:space="preserve">AHL3NVDRX7_1</t>
        </is>
      </c>
      <c r="D846" s="19" t="inlineStr">
        <is>
          <t xml:space="preserve">W0855_RAD54L_E12-13</t>
        </is>
      </c>
      <c r="E846" s="2">
        <v>1549</v>
      </c>
      <c r="F846" s="20" t="inlineStr">
        <is>
          <t xml:space="preserve">+</t>
        </is>
      </c>
      <c r="G846" s="4">
        <v>0.509</v>
      </c>
      <c r="H846" s="2">
        <v>1167</v>
      </c>
      <c r="I846" s="9" t="inlineStr">
        <is>
          <t xml:space="preserve">+</t>
        </is>
      </c>
      <c r="J846" s="4">
        <v>0.526</v>
      </c>
    </row>
    <row r="847">
      <c r="A847" s="6" t="inlineStr">
        <is>
          <t xml:space="preserve">HRD-177-26S052587</t>
        </is>
      </c>
      <c r="B847" s="7" t="inlineStr">
        <is>
          <t xml:space="preserve">HRD-177-26S052587</t>
        </is>
      </c>
      <c r="C847" s="7" t="inlineStr">
        <is>
          <t xml:space="preserve">AHL3NVDRX7_1</t>
        </is>
      </c>
      <c r="D847" s="19" t="inlineStr">
        <is>
          <t xml:space="preserve">W0856_RAD54L_E12-13</t>
        </is>
      </c>
      <c r="E847" s="2">
        <v>1783</v>
      </c>
      <c r="F847" s="20" t="inlineStr">
        <is>
          <t xml:space="preserve">+</t>
        </is>
      </c>
      <c r="G847" s="4">
        <v>0.586</v>
      </c>
      <c r="H847" s="2">
        <v>1365</v>
      </c>
      <c r="I847" s="9" t="inlineStr">
        <is>
          <t xml:space="preserve">+</t>
        </is>
      </c>
      <c r="J847" s="4">
        <v>0.616</v>
      </c>
    </row>
    <row r="848">
      <c r="A848" s="6" t="inlineStr">
        <is>
          <t xml:space="preserve">HRD-177-26S052587</t>
        </is>
      </c>
      <c r="B848" s="7" t="inlineStr">
        <is>
          <t xml:space="preserve">HRD-177-26S052587</t>
        </is>
      </c>
      <c r="C848" s="7" t="inlineStr">
        <is>
          <t xml:space="preserve">AHL3NVDRX7_1</t>
        </is>
      </c>
      <c r="D848" s="19" t="inlineStr">
        <is>
          <t xml:space="preserve">W0857_RAD54L_E12-13</t>
        </is>
      </c>
      <c r="E848" s="2">
        <v>2233</v>
      </c>
      <c r="F848" s="20" t="inlineStr">
        <is>
          <t xml:space="preserve">+</t>
        </is>
      </c>
      <c r="G848" s="4">
        <v>0.734</v>
      </c>
      <c r="H848" s="2">
        <v>1622</v>
      </c>
      <c r="I848" s="9" t="inlineStr">
        <is>
          <t xml:space="preserve">+</t>
        </is>
      </c>
      <c r="J848" s="4">
        <v>0.732</v>
      </c>
    </row>
    <row r="849">
      <c r="A849" s="6" t="inlineStr">
        <is>
          <t xml:space="preserve">HRD-177-26S052587</t>
        </is>
      </c>
      <c r="B849" s="7" t="inlineStr">
        <is>
          <t xml:space="preserve">HRD-177-26S052587</t>
        </is>
      </c>
      <c r="C849" s="7" t="inlineStr">
        <is>
          <t xml:space="preserve">AHL3NVDRX7_1</t>
        </is>
      </c>
      <c r="D849" s="19" t="inlineStr">
        <is>
          <t xml:space="preserve">W0858_RAD54L_E14</t>
        </is>
      </c>
      <c r="E849" s="2">
        <v>2125</v>
      </c>
      <c r="F849" s="20" t="inlineStr">
        <is>
          <t xml:space="preserve">+</t>
        </is>
      </c>
      <c r="G849" s="4">
        <v>0.698</v>
      </c>
      <c r="H849" s="2">
        <v>1554</v>
      </c>
      <c r="I849" s="9" t="inlineStr">
        <is>
          <t xml:space="preserve">+</t>
        </is>
      </c>
      <c r="J849" s="4">
        <v>0.701</v>
      </c>
    </row>
    <row r="850">
      <c r="A850" s="6" t="inlineStr">
        <is>
          <t xml:space="preserve">HRD-177-26S052587</t>
        </is>
      </c>
      <c r="B850" s="7" t="inlineStr">
        <is>
          <t xml:space="preserve">HRD-177-26S052587</t>
        </is>
      </c>
      <c r="C850" s="7" t="inlineStr">
        <is>
          <t xml:space="preserve">AHL3NVDRX7_1</t>
        </is>
      </c>
      <c r="D850" s="19" t="inlineStr">
        <is>
          <t xml:space="preserve">W0859_RAD54L_E14</t>
        </is>
      </c>
      <c r="E850" s="2">
        <v>2791</v>
      </c>
      <c r="F850" s="20" t="inlineStr">
        <is>
          <t xml:space="preserve">+</t>
        </is>
      </c>
      <c r="G850" s="4">
        <v>0.917</v>
      </c>
      <c r="H850" s="2">
        <v>2023</v>
      </c>
      <c r="I850" s="9" t="inlineStr">
        <is>
          <t xml:space="preserve">+</t>
        </is>
      </c>
      <c r="J850" s="4">
        <v>0.913</v>
      </c>
    </row>
    <row r="851">
      <c r="A851" s="6" t="inlineStr">
        <is>
          <t xml:space="preserve">HRD-177-26S052587</t>
        </is>
      </c>
      <c r="B851" s="7" t="inlineStr">
        <is>
          <t xml:space="preserve">HRD-177-26S052587</t>
        </is>
      </c>
      <c r="C851" s="7" t="inlineStr">
        <is>
          <t xml:space="preserve">AHL3NVDRX7_1</t>
        </is>
      </c>
      <c r="D851" s="19" t="inlineStr">
        <is>
          <t xml:space="preserve">W0860_RAD54L_E15</t>
        </is>
      </c>
      <c r="E851" s="2">
        <v>2462</v>
      </c>
      <c r="F851" s="20" t="inlineStr">
        <is>
          <t xml:space="preserve">+</t>
        </is>
      </c>
      <c r="G851" s="4">
        <v>0.809</v>
      </c>
      <c r="H851" s="2">
        <v>1721</v>
      </c>
      <c r="I851" s="9" t="inlineStr">
        <is>
          <t xml:space="preserve">+</t>
        </is>
      </c>
      <c r="J851" s="4">
        <v>0.776</v>
      </c>
    </row>
    <row r="852">
      <c r="A852" s="6" t="inlineStr">
        <is>
          <t xml:space="preserve">HRD-177-26S052587</t>
        </is>
      </c>
      <c r="B852" s="7" t="inlineStr">
        <is>
          <t xml:space="preserve">HRD-177-26S052587</t>
        </is>
      </c>
      <c r="C852" s="7" t="inlineStr">
        <is>
          <t xml:space="preserve">AHL3NVDRX7_1</t>
        </is>
      </c>
      <c r="D852" s="19" t="inlineStr">
        <is>
          <t xml:space="preserve">W0861_RAD54L_E15</t>
        </is>
      </c>
      <c r="E852" s="2">
        <v>2348</v>
      </c>
      <c r="F852" s="20" t="inlineStr">
        <is>
          <t xml:space="preserve">+</t>
        </is>
      </c>
      <c r="G852" s="4">
        <v>0.772</v>
      </c>
      <c r="H852" s="2">
        <v>1659</v>
      </c>
      <c r="I852" s="9" t="inlineStr">
        <is>
          <t xml:space="preserve">+</t>
        </is>
      </c>
      <c r="J852" s="4">
        <v>0.748</v>
      </c>
    </row>
    <row r="853">
      <c r="A853" s="6" t="inlineStr">
        <is>
          <t xml:space="preserve">HRD-177-26S052587</t>
        </is>
      </c>
      <c r="B853" s="7" t="inlineStr">
        <is>
          <t xml:space="preserve">HRD-177-26S052587</t>
        </is>
      </c>
      <c r="C853" s="7" t="inlineStr">
        <is>
          <t xml:space="preserve">AHL3NVDRX7_1</t>
        </is>
      </c>
      <c r="D853" s="19" t="inlineStr">
        <is>
          <t xml:space="preserve">W0862_RAD54L_E16</t>
        </is>
      </c>
      <c r="E853" s="2">
        <v>1638</v>
      </c>
      <c r="F853" s="20" t="inlineStr">
        <is>
          <t xml:space="preserve">+</t>
        </is>
      </c>
      <c r="G853" s="4">
        <v>0.538</v>
      </c>
      <c r="H853" s="2">
        <v>1207</v>
      </c>
      <c r="I853" s="9" t="inlineStr">
        <is>
          <t xml:space="preserve">+</t>
        </is>
      </c>
      <c r="J853" s="4">
        <v>0.545</v>
      </c>
    </row>
    <row r="854">
      <c r="A854" s="6" t="inlineStr">
        <is>
          <t xml:space="preserve">HRD-177-26S052587</t>
        </is>
      </c>
      <c r="B854" s="7" t="inlineStr">
        <is>
          <t xml:space="preserve">HRD-177-26S052587</t>
        </is>
      </c>
      <c r="C854" s="7" t="inlineStr">
        <is>
          <t xml:space="preserve">AHL3NVDRX7_1</t>
        </is>
      </c>
      <c r="D854" s="19" t="inlineStr">
        <is>
          <t xml:space="preserve">W0863_RAD54L_E16</t>
        </is>
      </c>
      <c r="E854" s="2">
        <v>3556</v>
      </c>
      <c r="F854" s="20" t="inlineStr">
        <is>
          <t xml:space="preserve">+</t>
        </is>
      </c>
      <c r="G854" s="4">
        <v>1.169</v>
      </c>
      <c r="H854" s="2">
        <v>2463</v>
      </c>
      <c r="I854" s="9" t="inlineStr">
        <is>
          <t xml:space="preserve">+</t>
        </is>
      </c>
      <c r="J854" s="4">
        <v>1.111</v>
      </c>
    </row>
    <row r="855">
      <c r="A855" s="6" t="inlineStr">
        <is>
          <t xml:space="preserve">HRD-177-26S052587</t>
        </is>
      </c>
      <c r="B855" s="7" t="inlineStr">
        <is>
          <t xml:space="preserve">HRD-177-26S052587</t>
        </is>
      </c>
      <c r="C855" s="7" t="inlineStr">
        <is>
          <t xml:space="preserve">AHL3NVDRX7_1</t>
        </is>
      </c>
      <c r="D855" s="19" t="inlineStr">
        <is>
          <t xml:space="preserve">W0864_RAD54L_E17</t>
        </is>
      </c>
      <c r="E855" s="2">
        <v>2225</v>
      </c>
      <c r="F855" s="20" t="inlineStr">
        <is>
          <t xml:space="preserve">+</t>
        </is>
      </c>
      <c r="G855" s="4">
        <v>0.731</v>
      </c>
      <c r="H855" s="2">
        <v>1667</v>
      </c>
      <c r="I855" s="9" t="inlineStr">
        <is>
          <t xml:space="preserve">+</t>
        </is>
      </c>
      <c r="J855" s="4">
        <v>0.752</v>
      </c>
    </row>
    <row r="856">
      <c r="A856" s="6" t="inlineStr">
        <is>
          <t xml:space="preserve">HRD-177-26S052587</t>
        </is>
      </c>
      <c r="B856" s="7" t="inlineStr">
        <is>
          <t xml:space="preserve">HRD-177-26S052587</t>
        </is>
      </c>
      <c r="C856" s="7" t="inlineStr">
        <is>
          <t xml:space="preserve">AHL3NVDRX7_1</t>
        </is>
      </c>
      <c r="D856" s="19" t="inlineStr">
        <is>
          <t xml:space="preserve">W0865_RAD54L_E17</t>
        </is>
      </c>
      <c r="E856" s="2">
        <v>2983</v>
      </c>
      <c r="F856" s="20" t="inlineStr">
        <is>
          <t xml:space="preserve">+</t>
        </is>
      </c>
      <c r="G856" s="4">
        <v>0.98</v>
      </c>
      <c r="H856" s="2">
        <v>2132</v>
      </c>
      <c r="I856" s="9" t="inlineStr">
        <is>
          <t xml:space="preserve">+</t>
        </is>
      </c>
      <c r="J856" s="4">
        <v>0.962</v>
      </c>
    </row>
    <row r="857">
      <c r="A857" s="6" t="inlineStr">
        <is>
          <t xml:space="preserve">HRD-177-26S052587</t>
        </is>
      </c>
      <c r="B857" s="7" t="inlineStr">
        <is>
          <t xml:space="preserve">HRD-177-26S052587</t>
        </is>
      </c>
      <c r="C857" s="7" t="inlineStr">
        <is>
          <t xml:space="preserve">AHL3NVDRX7_1</t>
        </is>
      </c>
      <c r="D857" s="19" t="inlineStr">
        <is>
          <t xml:space="preserve">W0866_RAD54L_E18-19</t>
        </is>
      </c>
      <c r="E857" s="2">
        <v>1843</v>
      </c>
      <c r="F857" s="20" t="inlineStr">
        <is>
          <t xml:space="preserve">+</t>
        </is>
      </c>
      <c r="G857" s="4">
        <v>0.606</v>
      </c>
      <c r="H857" s="2">
        <v>1349</v>
      </c>
      <c r="I857" s="9" t="inlineStr">
        <is>
          <t xml:space="preserve">+</t>
        </is>
      </c>
      <c r="J857" s="4">
        <v>0.609</v>
      </c>
    </row>
    <row r="858">
      <c r="A858" s="6" t="inlineStr">
        <is>
          <t xml:space="preserve">HRD-177-26S052587</t>
        </is>
      </c>
      <c r="B858" s="7" t="inlineStr">
        <is>
          <t xml:space="preserve">HRD-177-26S052587</t>
        </is>
      </c>
      <c r="C858" s="7" t="inlineStr">
        <is>
          <t xml:space="preserve">AHL3NVDRX7_1</t>
        </is>
      </c>
      <c r="D858" s="19" t="inlineStr">
        <is>
          <t xml:space="preserve">W0867_RAD54L_E18-19</t>
        </is>
      </c>
      <c r="E858" s="2">
        <v>2186</v>
      </c>
      <c r="F858" s="20" t="inlineStr">
        <is>
          <t xml:space="preserve">+</t>
        </is>
      </c>
      <c r="G858" s="4">
        <v>0.718</v>
      </c>
      <c r="H858" s="2">
        <v>1585</v>
      </c>
      <c r="I858" s="9" t="inlineStr">
        <is>
          <t xml:space="preserve">+</t>
        </is>
      </c>
      <c r="J858" s="4">
        <v>0.715</v>
      </c>
    </row>
    <row r="859">
      <c r="A859" s="6" t="inlineStr">
        <is>
          <t xml:space="preserve">HRD-177-26S052587</t>
        </is>
      </c>
      <c r="B859" s="7" t="inlineStr">
        <is>
          <t xml:space="preserve">HRD-177-26S052587</t>
        </is>
      </c>
      <c r="C859" s="7" t="inlineStr">
        <is>
          <t xml:space="preserve">AHL3NVDRX7_1</t>
        </is>
      </c>
      <c r="D859" s="19" t="inlineStr">
        <is>
          <t xml:space="preserve">W0868_RAD54L_E18-19</t>
        </is>
      </c>
      <c r="E859" s="2">
        <v>1631</v>
      </c>
      <c r="F859" s="20" t="inlineStr">
        <is>
          <t xml:space="preserve">+</t>
        </is>
      </c>
      <c r="G859" s="4">
        <v>0.536</v>
      </c>
      <c r="H859" s="2">
        <v>1160</v>
      </c>
      <c r="I859" s="9" t="inlineStr">
        <is>
          <t xml:space="preserve">+</t>
        </is>
      </c>
      <c r="J859" s="4">
        <v>0.523</v>
      </c>
    </row>
    <row r="860">
      <c r="A860" s="6" t="inlineStr">
        <is>
          <t xml:space="preserve">HRD-177-26S052587</t>
        </is>
      </c>
      <c r="B860" s="7" t="inlineStr">
        <is>
          <t xml:space="preserve">HRD-177-26S052587</t>
        </is>
      </c>
      <c r="C860" s="7" t="inlineStr">
        <is>
          <t xml:space="preserve">AHL3NVDRX7_1</t>
        </is>
      </c>
      <c r="D860" s="19" t="inlineStr">
        <is>
          <t xml:space="preserve">W0869_RAD54L_E18-19</t>
        </is>
      </c>
      <c r="E860" s="2">
        <v>1381</v>
      </c>
      <c r="F860" s="20" t="inlineStr">
        <is>
          <t xml:space="preserve">+</t>
        </is>
      </c>
      <c r="G860" s="4">
        <v>0.454</v>
      </c>
      <c r="H860" s="2">
        <v>1037</v>
      </c>
      <c r="I860" s="9" t="inlineStr">
        <is>
          <t xml:space="preserve">+</t>
        </is>
      </c>
      <c r="J860" s="4">
        <v>0.468</v>
      </c>
    </row>
    <row r="861">
      <c r="A861" s="6" t="inlineStr">
        <is>
          <t xml:space="preserve">HRD-177-26S052587</t>
        </is>
      </c>
      <c r="B861" s="7" t="inlineStr">
        <is>
          <t xml:space="preserve">HRD-177-26S052587</t>
        </is>
      </c>
      <c r="C861" s="7" t="inlineStr">
        <is>
          <t xml:space="preserve">AHL3NVDRX7_1</t>
        </is>
      </c>
      <c r="D861" s="19" t="inlineStr">
        <is>
          <t xml:space="preserve">W0870_TP53_E11</t>
        </is>
      </c>
      <c r="E861" s="2">
        <v>3237</v>
      </c>
      <c r="F861" s="20" t="inlineStr">
        <is>
          <t xml:space="preserve">+</t>
        </is>
      </c>
      <c r="G861" s="4">
        <v>1.064</v>
      </c>
      <c r="H861" s="2">
        <v>2265</v>
      </c>
      <c r="I861" s="9" t="inlineStr">
        <is>
          <t xml:space="preserve">+</t>
        </is>
      </c>
      <c r="J861" s="4">
        <v>1.022</v>
      </c>
    </row>
    <row r="862">
      <c r="A862" s="6" t="inlineStr">
        <is>
          <t xml:space="preserve">HRD-177-26S052587</t>
        </is>
      </c>
      <c r="B862" s="7" t="inlineStr">
        <is>
          <t xml:space="preserve">HRD-177-26S052587</t>
        </is>
      </c>
      <c r="C862" s="7" t="inlineStr">
        <is>
          <t xml:space="preserve">AHL3NVDRX7_1</t>
        </is>
      </c>
      <c r="D862" s="19" t="inlineStr">
        <is>
          <t xml:space="preserve">W0871_TP53_E11</t>
        </is>
      </c>
      <c r="E862" s="2">
        <v>2958</v>
      </c>
      <c r="F862" s="20" t="inlineStr">
        <is>
          <t xml:space="preserve">+</t>
        </is>
      </c>
      <c r="G862" s="4">
        <v>0.972</v>
      </c>
      <c r="H862" s="2">
        <v>2035</v>
      </c>
      <c r="I862" s="9" t="inlineStr">
        <is>
          <t xml:space="preserve">+</t>
        </is>
      </c>
      <c r="J862" s="4">
        <v>0.918</v>
      </c>
    </row>
    <row r="863">
      <c r="A863" s="6" t="inlineStr">
        <is>
          <t xml:space="preserve">HRD-177-26S052587</t>
        </is>
      </c>
      <c r="B863" s="7" t="inlineStr">
        <is>
          <t xml:space="preserve">HRD-177-26S052587</t>
        </is>
      </c>
      <c r="C863" s="7" t="inlineStr">
        <is>
          <t xml:space="preserve">AHL3NVDRX7_1</t>
        </is>
      </c>
      <c r="D863" s="19" t="inlineStr">
        <is>
          <t xml:space="preserve">W0872_TP53_E10</t>
        </is>
      </c>
      <c r="E863" s="2">
        <v>2279</v>
      </c>
      <c r="F863" s="20" t="inlineStr">
        <is>
          <t xml:space="preserve">+</t>
        </is>
      </c>
      <c r="G863" s="4">
        <v>0.749</v>
      </c>
      <c r="H863" s="2">
        <v>1576</v>
      </c>
      <c r="I863" s="9" t="inlineStr">
        <is>
          <t xml:space="preserve">+</t>
        </is>
      </c>
      <c r="J863" s="4">
        <v>0.711</v>
      </c>
    </row>
    <row r="864">
      <c r="A864" s="6" t="inlineStr">
        <is>
          <t xml:space="preserve">HRD-177-26S052587</t>
        </is>
      </c>
      <c r="B864" s="7" t="inlineStr">
        <is>
          <t xml:space="preserve">HRD-177-26S052587</t>
        </is>
      </c>
      <c r="C864" s="7" t="inlineStr">
        <is>
          <t xml:space="preserve">AHL3NVDRX7_1</t>
        </is>
      </c>
      <c r="D864" s="19" t="inlineStr">
        <is>
          <t xml:space="preserve">W0873_TP53_E10</t>
        </is>
      </c>
      <c r="E864" s="2">
        <v>3215</v>
      </c>
      <c r="F864" s="20" t="inlineStr">
        <is>
          <t xml:space="preserve">+</t>
        </is>
      </c>
      <c r="G864" s="4">
        <v>1.057</v>
      </c>
      <c r="H864" s="2">
        <v>2204</v>
      </c>
      <c r="I864" s="9" t="inlineStr">
        <is>
          <t xml:space="preserve">+</t>
        </is>
      </c>
      <c r="J864" s="4">
        <v>0.994</v>
      </c>
    </row>
    <row r="865">
      <c r="A865" s="6" t="inlineStr">
        <is>
          <t xml:space="preserve">HRD-177-26S052587</t>
        </is>
      </c>
      <c r="B865" s="7" t="inlineStr">
        <is>
          <t xml:space="preserve">HRD-177-26S052587</t>
        </is>
      </c>
      <c r="C865" s="7" t="inlineStr">
        <is>
          <t xml:space="preserve">AHL3NVDRX7_1</t>
        </is>
      </c>
      <c r="D865" s="19" t="inlineStr">
        <is>
          <t xml:space="preserve">W0874_TP53_E09-08</t>
        </is>
      </c>
      <c r="E865" s="2">
        <v>3734</v>
      </c>
      <c r="F865" s="20" t="inlineStr">
        <is>
          <t xml:space="preserve">+</t>
        </is>
      </c>
      <c r="G865" s="4">
        <v>1.227</v>
      </c>
      <c r="H865" s="2">
        <v>2594</v>
      </c>
      <c r="I865" s="9" t="inlineStr">
        <is>
          <t xml:space="preserve">+</t>
        </is>
      </c>
      <c r="J865" s="4">
        <v>1.17</v>
      </c>
    </row>
    <row r="866">
      <c r="A866" s="6" t="inlineStr">
        <is>
          <t xml:space="preserve">HRD-177-26S052587</t>
        </is>
      </c>
      <c r="B866" s="7" t="inlineStr">
        <is>
          <t xml:space="preserve">HRD-177-26S052587</t>
        </is>
      </c>
      <c r="C866" s="7" t="inlineStr">
        <is>
          <t xml:space="preserve">AHL3NVDRX7_1</t>
        </is>
      </c>
      <c r="D866" s="19" t="inlineStr">
        <is>
          <t xml:space="preserve">W0875_TP53_E09-08</t>
        </is>
      </c>
      <c r="E866" s="2">
        <v>3686</v>
      </c>
      <c r="F866" s="20" t="inlineStr">
        <is>
          <t xml:space="preserve">+</t>
        </is>
      </c>
      <c r="G866" s="4">
        <v>1.211</v>
      </c>
      <c r="H866" s="2">
        <v>2578</v>
      </c>
      <c r="I866" s="9" t="inlineStr">
        <is>
          <t xml:space="preserve">+</t>
        </is>
      </c>
      <c r="J866" s="4">
        <v>1.163</v>
      </c>
    </row>
    <row r="867">
      <c r="A867" s="6" t="inlineStr">
        <is>
          <t xml:space="preserve">HRD-177-26S052587</t>
        </is>
      </c>
      <c r="B867" s="7" t="inlineStr">
        <is>
          <t xml:space="preserve">HRD-177-26S052587</t>
        </is>
      </c>
      <c r="C867" s="7" t="inlineStr">
        <is>
          <t xml:space="preserve">AHL3NVDRX7_1</t>
        </is>
      </c>
      <c r="D867" s="19" t="inlineStr">
        <is>
          <t xml:space="preserve">W0876_TP53_E09-08</t>
        </is>
      </c>
      <c r="E867" s="2">
        <v>2537</v>
      </c>
      <c r="F867" s="20" t="inlineStr">
        <is>
          <t xml:space="preserve">+</t>
        </is>
      </c>
      <c r="G867" s="4">
        <v>0.834</v>
      </c>
      <c r="H867" s="2">
        <v>1776</v>
      </c>
      <c r="I867" s="9" t="inlineStr">
        <is>
          <t xml:space="preserve">+</t>
        </is>
      </c>
      <c r="J867" s="4">
        <v>0.801</v>
      </c>
    </row>
    <row r="868">
      <c r="A868" s="6" t="inlineStr">
        <is>
          <t xml:space="preserve">HRD-177-26S052587</t>
        </is>
      </c>
      <c r="B868" s="7" t="inlineStr">
        <is>
          <t xml:space="preserve">HRD-177-26S052587</t>
        </is>
      </c>
      <c r="C868" s="7" t="inlineStr">
        <is>
          <t xml:space="preserve">AHL3NVDRX7_1</t>
        </is>
      </c>
      <c r="D868" s="19" t="inlineStr">
        <is>
          <t xml:space="preserve">W0877_TP53_E09-08</t>
        </is>
      </c>
      <c r="E868" s="2">
        <v>2690</v>
      </c>
      <c r="F868" s="20" t="inlineStr">
        <is>
          <t xml:space="preserve">+</t>
        </is>
      </c>
      <c r="G868" s="4">
        <v>0.884</v>
      </c>
      <c r="H868" s="2">
        <v>1903</v>
      </c>
      <c r="I868" s="9" t="inlineStr">
        <is>
          <t xml:space="preserve">+</t>
        </is>
      </c>
      <c r="J868" s="4">
        <v>0.859</v>
      </c>
    </row>
    <row r="869">
      <c r="A869" s="6" t="inlineStr">
        <is>
          <t xml:space="preserve">HRD-177-26S052587</t>
        </is>
      </c>
      <c r="B869" s="7" t="inlineStr">
        <is>
          <t xml:space="preserve">HRD-177-26S052587</t>
        </is>
      </c>
      <c r="C869" s="7" t="inlineStr">
        <is>
          <t xml:space="preserve">AHL3NVDRX7_1</t>
        </is>
      </c>
      <c r="D869" s="19" t="inlineStr">
        <is>
          <t xml:space="preserve">W0878_TP53_E07</t>
        </is>
      </c>
      <c r="E869" s="2">
        <v>2452</v>
      </c>
      <c r="F869" s="20" t="inlineStr">
        <is>
          <t xml:space="preserve">+</t>
        </is>
      </c>
      <c r="G869" s="4">
        <v>0.806</v>
      </c>
      <c r="H869" s="2">
        <v>1581</v>
      </c>
      <c r="I869" s="9" t="inlineStr">
        <is>
          <t xml:space="preserve">+</t>
        </is>
      </c>
      <c r="J869" s="4">
        <v>0.713</v>
      </c>
    </row>
    <row r="870">
      <c r="A870" s="6" t="inlineStr">
        <is>
          <t xml:space="preserve">HRD-177-26S052587</t>
        </is>
      </c>
      <c r="B870" s="7" t="inlineStr">
        <is>
          <t xml:space="preserve">HRD-177-26S052587</t>
        </is>
      </c>
      <c r="C870" s="7" t="inlineStr">
        <is>
          <t xml:space="preserve">AHL3NVDRX7_1</t>
        </is>
      </c>
      <c r="D870" s="19" t="inlineStr">
        <is>
          <t xml:space="preserve">W0879_TP53_E07</t>
        </is>
      </c>
      <c r="E870" s="2">
        <v>3228</v>
      </c>
      <c r="F870" s="20" t="inlineStr">
        <is>
          <t xml:space="preserve">+</t>
        </is>
      </c>
      <c r="G870" s="4">
        <v>1.061</v>
      </c>
      <c r="H870" s="2">
        <v>2094</v>
      </c>
      <c r="I870" s="9" t="inlineStr">
        <is>
          <t xml:space="preserve">+</t>
        </is>
      </c>
      <c r="J870" s="4">
        <v>0.945</v>
      </c>
    </row>
    <row r="871">
      <c r="A871" s="6" t="inlineStr">
        <is>
          <t xml:space="preserve">HRD-177-26S052587</t>
        </is>
      </c>
      <c r="B871" s="7" t="inlineStr">
        <is>
          <t xml:space="preserve">HRD-177-26S052587</t>
        </is>
      </c>
      <c r="C871" s="7" t="inlineStr">
        <is>
          <t xml:space="preserve">AHL3NVDRX7_1</t>
        </is>
      </c>
      <c r="D871" s="19" t="inlineStr">
        <is>
          <t xml:space="preserve">W0880_TP53_E07</t>
        </is>
      </c>
      <c r="E871" s="2">
        <v>3849</v>
      </c>
      <c r="F871" s="20" t="inlineStr">
        <is>
          <t xml:space="preserve">+</t>
        </is>
      </c>
      <c r="G871" s="4">
        <v>1.265</v>
      </c>
      <c r="H871" s="2">
        <v>2573</v>
      </c>
      <c r="I871" s="9" t="inlineStr">
        <is>
          <t xml:space="preserve">+</t>
        </is>
      </c>
      <c r="J871" s="4">
        <v>1.161</v>
      </c>
    </row>
    <row r="872">
      <c r="A872" s="6" t="inlineStr">
        <is>
          <t xml:space="preserve">HRD-177-26S052587</t>
        </is>
      </c>
      <c r="B872" s="7" t="inlineStr">
        <is>
          <t xml:space="preserve">HRD-177-26S052587</t>
        </is>
      </c>
      <c r="C872" s="7" t="inlineStr">
        <is>
          <t xml:space="preserve">AHL3NVDRX7_1</t>
        </is>
      </c>
      <c r="D872" s="19" t="inlineStr">
        <is>
          <t xml:space="preserve">W0881_TP53_E06-05</t>
        </is>
      </c>
      <c r="E872" s="2">
        <v>1496</v>
      </c>
      <c r="F872" s="20" t="inlineStr">
        <is>
          <t xml:space="preserve">+</t>
        </is>
      </c>
      <c r="G872" s="4">
        <v>0.492</v>
      </c>
      <c r="H872" s="2">
        <v>1103</v>
      </c>
      <c r="I872" s="9" t="inlineStr">
        <is>
          <t xml:space="preserve">+</t>
        </is>
      </c>
      <c r="J872" s="4">
        <v>0.498</v>
      </c>
    </row>
    <row r="873">
      <c r="A873" s="6" t="inlineStr">
        <is>
          <t xml:space="preserve">HRD-177-26S052587</t>
        </is>
      </c>
      <c r="B873" s="7" t="inlineStr">
        <is>
          <t xml:space="preserve">HRD-177-26S052587</t>
        </is>
      </c>
      <c r="C873" s="7" t="inlineStr">
        <is>
          <t xml:space="preserve">AHL3NVDRX7_1</t>
        </is>
      </c>
      <c r="D873" s="19" t="inlineStr">
        <is>
          <t xml:space="preserve">W0882_TP53_E06-05</t>
        </is>
      </c>
      <c r="E873" s="2">
        <v>4349</v>
      </c>
      <c r="F873" s="20" t="inlineStr">
        <is>
          <t xml:space="preserve">+</t>
        </is>
      </c>
      <c r="G873" s="4">
        <v>1.429</v>
      </c>
      <c r="H873" s="2">
        <v>2964</v>
      </c>
      <c r="I873" s="9" t="inlineStr">
        <is>
          <t xml:space="preserve">+</t>
        </is>
      </c>
      <c r="J873" s="4">
        <v>1.337</v>
      </c>
    </row>
    <row r="874">
      <c r="A874" s="6" t="inlineStr">
        <is>
          <t xml:space="preserve">HRD-177-26S052587</t>
        </is>
      </c>
      <c r="B874" s="7" t="inlineStr">
        <is>
          <t xml:space="preserve">HRD-177-26S052587</t>
        </is>
      </c>
      <c r="C874" s="7" t="inlineStr">
        <is>
          <t xml:space="preserve">AHL3NVDRX7_1</t>
        </is>
      </c>
      <c r="D874" s="19" t="inlineStr">
        <is>
          <t xml:space="preserve">W0883_TP53_E06-05</t>
        </is>
      </c>
      <c r="E874" s="2">
        <v>2236</v>
      </c>
      <c r="F874" s="20" t="inlineStr">
        <is>
          <t xml:space="preserve">+</t>
        </is>
      </c>
      <c r="G874" s="4">
        <v>0.735</v>
      </c>
      <c r="H874" s="2">
        <v>1567</v>
      </c>
      <c r="I874" s="9" t="inlineStr">
        <is>
          <t xml:space="preserve">+</t>
        </is>
      </c>
      <c r="J874" s="4">
        <v>0.707</v>
      </c>
    </row>
    <row r="875">
      <c r="A875" s="6" t="inlineStr">
        <is>
          <t xml:space="preserve">HRD-177-26S052587</t>
        </is>
      </c>
      <c r="B875" s="7" t="inlineStr">
        <is>
          <t xml:space="preserve">HRD-177-26S052587</t>
        </is>
      </c>
      <c r="C875" s="7" t="inlineStr">
        <is>
          <t xml:space="preserve">AHL3NVDRX7_1</t>
        </is>
      </c>
      <c r="D875" s="19" t="inlineStr">
        <is>
          <t xml:space="preserve">W0884_TP53_E06-05</t>
        </is>
      </c>
      <c r="E875" s="2">
        <v>3705</v>
      </c>
      <c r="F875" s="20" t="inlineStr">
        <is>
          <t xml:space="preserve">+</t>
        </is>
      </c>
      <c r="G875" s="4">
        <v>1.218</v>
      </c>
      <c r="H875" s="2">
        <v>2330</v>
      </c>
      <c r="I875" s="9" t="inlineStr">
        <is>
          <t xml:space="preserve">+</t>
        </is>
      </c>
      <c r="J875" s="4">
        <v>1.051</v>
      </c>
    </row>
    <row r="876">
      <c r="A876" s="6" t="inlineStr">
        <is>
          <t xml:space="preserve">HRD-177-26S052587</t>
        </is>
      </c>
      <c r="B876" s="7" t="inlineStr">
        <is>
          <t xml:space="preserve">HRD-177-26S052587</t>
        </is>
      </c>
      <c r="C876" s="7" t="inlineStr">
        <is>
          <t xml:space="preserve">AHL3NVDRX7_1</t>
        </is>
      </c>
      <c r="D876" s="19" t="inlineStr">
        <is>
          <t xml:space="preserve">W0885_TP53_E06-05</t>
        </is>
      </c>
      <c r="E876" s="2">
        <v>3202</v>
      </c>
      <c r="F876" s="20" t="inlineStr">
        <is>
          <t xml:space="preserve">+</t>
        </is>
      </c>
      <c r="G876" s="4">
        <v>1.052</v>
      </c>
      <c r="H876" s="2">
        <v>2046</v>
      </c>
      <c r="I876" s="9" t="inlineStr">
        <is>
          <t xml:space="preserve">+</t>
        </is>
      </c>
      <c r="J876" s="4">
        <v>0.923</v>
      </c>
    </row>
    <row r="877">
      <c r="A877" s="6" t="inlineStr">
        <is>
          <t xml:space="preserve">HRD-177-26S052587</t>
        </is>
      </c>
      <c r="B877" s="7" t="inlineStr">
        <is>
          <t xml:space="preserve">HRD-177-26S052587</t>
        </is>
      </c>
      <c r="C877" s="7" t="inlineStr">
        <is>
          <t xml:space="preserve">AHL3NVDRX7_1</t>
        </is>
      </c>
      <c r="D877" s="19" t="inlineStr">
        <is>
          <t xml:space="preserve">W0886_TP53_E04</t>
        </is>
      </c>
      <c r="E877" s="2">
        <v>2614</v>
      </c>
      <c r="F877" s="20" t="inlineStr">
        <is>
          <t xml:space="preserve">+</t>
        </is>
      </c>
      <c r="G877" s="4">
        <v>0.859</v>
      </c>
      <c r="H877" s="2">
        <v>1796</v>
      </c>
      <c r="I877" s="9" t="inlineStr">
        <is>
          <t xml:space="preserve">+</t>
        </is>
      </c>
      <c r="J877" s="4">
        <v>0.81</v>
      </c>
    </row>
    <row r="878">
      <c r="A878" s="6" t="inlineStr">
        <is>
          <t xml:space="preserve">HRD-177-26S052587</t>
        </is>
      </c>
      <c r="B878" s="7" t="inlineStr">
        <is>
          <t xml:space="preserve">HRD-177-26S052587</t>
        </is>
      </c>
      <c r="C878" s="7" t="inlineStr">
        <is>
          <t xml:space="preserve">AHL3NVDRX7_1</t>
        </is>
      </c>
      <c r="D878" s="19" t="inlineStr">
        <is>
          <t xml:space="preserve">W0887_TP53_E04</t>
        </is>
      </c>
      <c r="E878" s="2">
        <v>3434</v>
      </c>
      <c r="F878" s="20" t="inlineStr">
        <is>
          <t xml:space="preserve">+</t>
        </is>
      </c>
      <c r="G878" s="4">
        <v>1.129</v>
      </c>
      <c r="H878" s="2">
        <v>2465</v>
      </c>
      <c r="I878" s="9" t="inlineStr">
        <is>
          <t xml:space="preserve">+</t>
        </is>
      </c>
      <c r="J878" s="4">
        <v>1.112</v>
      </c>
    </row>
    <row r="879">
      <c r="A879" s="6" t="inlineStr">
        <is>
          <t xml:space="preserve">HRD-177-26S052587</t>
        </is>
      </c>
      <c r="B879" s="7" t="inlineStr">
        <is>
          <t xml:space="preserve">HRD-177-26S052587</t>
        </is>
      </c>
      <c r="C879" s="7" t="inlineStr">
        <is>
          <t xml:space="preserve">AHL3NVDRX7_1</t>
        </is>
      </c>
      <c r="D879" s="19" t="inlineStr">
        <is>
          <t xml:space="preserve">W0888_TP53_E04</t>
        </is>
      </c>
      <c r="E879" s="2">
        <v>1172</v>
      </c>
      <c r="F879" s="20" t="inlineStr">
        <is>
          <t xml:space="preserve">+</t>
        </is>
      </c>
      <c r="G879" s="4">
        <v>0.385</v>
      </c>
      <c r="H879" s="2">
        <v>837</v>
      </c>
      <c r="I879" s="9" t="inlineStr">
        <is>
          <t xml:space="preserve">+</t>
        </is>
      </c>
      <c r="J879" s="4">
        <v>0.378</v>
      </c>
    </row>
    <row r="880">
      <c r="A880" s="6" t="inlineStr">
        <is>
          <t xml:space="preserve">HRD-177-26S052587</t>
        </is>
      </c>
      <c r="B880" s="7" t="inlineStr">
        <is>
          <t xml:space="preserve">HRD-177-26S052587</t>
        </is>
      </c>
      <c r="C880" s="7" t="inlineStr">
        <is>
          <t xml:space="preserve">AHL3NVDRX7_1</t>
        </is>
      </c>
      <c r="D880" s="19" t="inlineStr">
        <is>
          <t xml:space="preserve">W0889_TP53_E04</t>
        </is>
      </c>
      <c r="E880" s="2">
        <v>2383</v>
      </c>
      <c r="F880" s="20" t="inlineStr">
        <is>
          <t xml:space="preserve">+</t>
        </is>
      </c>
      <c r="G880" s="4">
        <v>0.783</v>
      </c>
      <c r="H880" s="2">
        <v>1687</v>
      </c>
      <c r="I880" s="9" t="inlineStr">
        <is>
          <t xml:space="preserve">+</t>
        </is>
      </c>
      <c r="J880" s="4">
        <v>0.761</v>
      </c>
    </row>
    <row r="881">
      <c r="A881" s="6" t="inlineStr">
        <is>
          <t xml:space="preserve">HRD-177-26S052587</t>
        </is>
      </c>
      <c r="B881" s="7" t="inlineStr">
        <is>
          <t xml:space="preserve">HRD-177-26S052587</t>
        </is>
      </c>
      <c r="C881" s="7" t="inlineStr">
        <is>
          <t xml:space="preserve">AHL3NVDRX7_1</t>
        </is>
      </c>
      <c r="D881" s="19" t="inlineStr">
        <is>
          <t xml:space="preserve">W0890_TP53_E03</t>
        </is>
      </c>
      <c r="E881" s="2">
        <v>5397</v>
      </c>
      <c r="F881" s="20" t="inlineStr">
        <is>
          <t xml:space="preserve">+</t>
        </is>
      </c>
      <c r="G881" s="4">
        <v>1.774</v>
      </c>
      <c r="H881" s="2">
        <v>3510</v>
      </c>
      <c r="I881" s="9" t="inlineStr">
        <is>
          <t xml:space="preserve">+</t>
        </is>
      </c>
      <c r="J881" s="4">
        <v>1.583</v>
      </c>
    </row>
    <row r="882">
      <c r="A882" s="6" t="inlineStr">
        <is>
          <t xml:space="preserve">HRD-177-26S052587</t>
        </is>
      </c>
      <c r="B882" s="7" t="inlineStr">
        <is>
          <t xml:space="preserve">HRD-177-26S052587</t>
        </is>
      </c>
      <c r="C882" s="7" t="inlineStr">
        <is>
          <t xml:space="preserve">AHL3NVDRX7_1</t>
        </is>
      </c>
      <c r="D882" s="19" t="inlineStr">
        <is>
          <t xml:space="preserve">W0891_TP53_E02</t>
        </is>
      </c>
      <c r="E882" s="2">
        <v>2337</v>
      </c>
      <c r="F882" s="20" t="inlineStr">
        <is>
          <t xml:space="preserve">+</t>
        </is>
      </c>
      <c r="G882" s="4">
        <v>0.768</v>
      </c>
      <c r="H882" s="2">
        <v>1634</v>
      </c>
      <c r="I882" s="9" t="inlineStr">
        <is>
          <t xml:space="preserve">+</t>
        </is>
      </c>
      <c r="J882" s="4">
        <v>0.737</v>
      </c>
    </row>
    <row r="883">
      <c r="A883" s="6" t="inlineStr">
        <is>
          <t xml:space="preserve">HRD-177-26S052587</t>
        </is>
      </c>
      <c r="B883" s="7" t="inlineStr">
        <is>
          <t xml:space="preserve">HRD-177-26S052587</t>
        </is>
      </c>
      <c r="C883" s="7" t="inlineStr">
        <is>
          <t xml:space="preserve">AHL3NVDRX7_1</t>
        </is>
      </c>
      <c r="D883" s="19" t="inlineStr">
        <is>
          <t xml:space="preserve">Total</t>
        </is>
      </c>
      <c r="E883" s="4">
        <v>3042.77</v>
      </c>
      <c r="F883" s="3">
        <v>0.9909</v>
      </c>
      <c r="G883" s="4">
        <v>0.428</v>
      </c>
      <c r="H883" s="4">
        <v>2216.65</v>
      </c>
      <c r="I883" s="3">
        <v>0.9921</v>
      </c>
      <c r="J883" s="4">
        <v>0.408</v>
      </c>
    </row>
  </sheetData>
  <autoFilter ref="A1:J88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6"/>
    <col min="2" max="2" hidden="1" bestFit="0" customWidth="1" width="0.000000" style="7"/>
    <col min="3" max="3" hidden="1" bestFit="0" customWidth="1" width="0.000000" style="7"/>
    <col min="4" max="4" hidden="0" bestFit="0" customWidth="1" width="10.000000" style="21"/>
    <col min="5" max="5" hidden="0" bestFit="0" customWidth="1" width="18.000000" style="13"/>
    <col min="6" max="6" hidden="0" bestFit="0" customWidth="1" width="18.000000" style="13"/>
    <col min="7" max="7" hidden="0" bestFit="0" customWidth="1" width="10.000000" style="21"/>
    <col min="8" max="8" hidden="0" bestFit="0" customWidth="1" width="10.000000" style="21"/>
    <col min="9" max="9" hidden="0" bestFit="0" customWidth="1" width="35.000000" style="23"/>
    <col min="10" max="10" hidden="0" bestFit="0" customWidth="1" width="30.000000" style="24"/>
    <col min="11" max="11" hidden="0" bestFit="0" customWidth="1" width="10.000000" style="21"/>
    <col min="12" max="12" hidden="0" bestFit="0" customWidth="1" width="10.000000" style="21"/>
    <col min="13" max="13" hidden="0" bestFit="0" customWidth="1" width="11.600000" style="25"/>
    <col min="14" max="14" hidden="0" bestFit="0" customWidth="1" width="10.000000" style="21"/>
    <col min="15" max="15" hidden="0" bestFit="0" customWidth="1" width="30.000000" style="24"/>
    <col min="16" max="16" hidden="0" bestFit="0" customWidth="1" width="55.000000" style="26"/>
    <col min="17" max="17" hidden="0" bestFit="0" customWidth="1" width="17.400000" style="27"/>
    <col min="18" max="18" hidden="0" bestFit="0" customWidth="1" width="10.000000" style="21"/>
    <col min="19" max="19" hidden="0" bestFit="0" customWidth="1" width="10.000000" style="28"/>
    <col min="20" max="20" hidden="0" bestFit="0" customWidth="1" width="18.000000" style="29"/>
    <col min="21" max="21" hidden="0" bestFit="0" customWidth="1" width="18.000000" style="29"/>
    <col min="22" max="22" hidden="0" bestFit="0" customWidth="1" width="18.000000" style="29"/>
    <col min="23" max="23" hidden="0" bestFit="0" customWidth="1" width="18.000000" style="29"/>
    <col min="24" max="24" hidden="0" bestFit="0" customWidth="1" width="18.000000" style="29"/>
    <col min="25" max="25" hidden="0" bestFit="0" customWidth="1" width="10.150000" style="30"/>
    <col min="26" max="26" hidden="0" bestFit="0" customWidth="1" width="20.300000" style="20"/>
    <col min="27" max="27" hidden="0" bestFit="0" customWidth="1" width="26.000000" style="6"/>
    <col min="28" max="28" hidden="0" bestFit="0" customWidth="1" width="26.000000" style="6"/>
    <col min="29" max="29" hidden="0" bestFit="0" customWidth="1" width="33.000000" style="31"/>
    <col min="30" max="30" hidden="0" bestFit="0" customWidth="1" width="10.000000" style="21"/>
    <col min="31" max="31" hidden="0" bestFit="0" customWidth="1" width="10.000000" style="21"/>
  </cols>
  <sheetData>
    <row r="1">
      <c r="A1" s="6" t="inlineStr">
        <is>
          <t xml:space="preserve">Sample</t>
        </is>
      </c>
      <c r="B1" s="7" t="inlineStr">
        <is>
          <t xml:space="preserve">Library</t>
        </is>
      </c>
      <c r="C1" s="7" t="inlineStr">
        <is>
          <t xml:space="preserve">FlowCell_Lane</t>
        </is>
      </c>
      <c r="D1" s="21" t="inlineStr">
        <is>
          <t xml:space="preserve">Chr</t>
        </is>
      </c>
      <c r="E1" s="13" t="inlineStr">
        <is>
          <t xml:space="preserve">Start</t>
        </is>
      </c>
      <c r="F1" s="13" t="inlineStr">
        <is>
          <t xml:space="preserve">End</t>
        </is>
      </c>
      <c r="G1" s="21" t="inlineStr">
        <is>
          <t xml:space="preserve">Ref</t>
        </is>
      </c>
      <c r="H1" s="21" t="inlineStr">
        <is>
          <t xml:space="preserve">Alt</t>
        </is>
      </c>
      <c r="I1" s="23" t="inlineStr">
        <is>
          <t xml:space="preserve">Context</t>
        </is>
      </c>
      <c r="J1" s="24" t="inlineStr">
        <is>
          <t xml:space="preserve">Tags</t>
        </is>
      </c>
      <c r="K1" s="21" t="inlineStr">
        <is>
          <t xml:space="preserve">Depth</t>
        </is>
      </c>
      <c r="L1" s="21" t="inlineStr">
        <is>
          <t xml:space="preserve">Freq</t>
        </is>
      </c>
      <c r="M1" s="25" t="inlineStr">
        <is>
          <t xml:space="preserve">AltDepth</t>
        </is>
      </c>
      <c r="N1" s="21" t="inlineStr">
        <is>
          <t xml:space="preserve">Gene</t>
        </is>
      </c>
      <c r="O1" s="24" t="inlineStr">
        <is>
          <t xml:space="preserve">Type</t>
        </is>
      </c>
      <c r="P1" s="26" t="inlineStr">
        <is>
          <t xml:space="preserve">CDSChange</t>
        </is>
      </c>
      <c r="Q1" s="27" t="inlineStr">
        <is>
          <t xml:space="preserve">Significance</t>
        </is>
      </c>
      <c r="R1" s="21" t="inlineStr">
        <is>
          <t xml:space="preserve">dbSNP</t>
        </is>
      </c>
      <c r="S1" s="28" t="inlineStr">
        <is>
          <t xml:space="preserve">1KG</t>
        </is>
      </c>
      <c r="T1" s="29" t="inlineStr">
        <is>
          <t xml:space="preserve">1KG_EAS_AF</t>
        </is>
      </c>
      <c r="U1" s="29" t="inlineStr">
        <is>
          <t xml:space="preserve">1KG_EUR_AF</t>
        </is>
      </c>
      <c r="V1" s="29" t="inlineStr">
        <is>
          <t xml:space="preserve">1KG_AMR_AF</t>
        </is>
      </c>
      <c r="W1" s="29" t="inlineStr">
        <is>
          <t xml:space="preserve">1KG_SAS_AF</t>
        </is>
      </c>
      <c r="X1" s="29" t="inlineStr">
        <is>
          <t xml:space="preserve">1KG_AFR_AF</t>
        </is>
      </c>
      <c r="Y1" s="30" t="inlineStr">
        <is>
          <t xml:space="preserve">ClinVar</t>
        </is>
      </c>
      <c r="Z1" s="20" t="inlineStr">
        <is>
          <t xml:space="preserve">ClinVar_CLNSIG</t>
        </is>
      </c>
      <c r="AA1" s="6" t="inlineStr">
        <is>
          <t xml:space="preserve">COSMIC</t>
        </is>
      </c>
      <c r="AB1" s="6" t="inlineStr">
        <is>
          <t xml:space="preserve">PMID</t>
        </is>
      </c>
      <c r="AC1" s="31" t="inlineStr">
        <is>
          <t xml:space="preserve">Amplicon</t>
        </is>
      </c>
      <c r="AD1" s="21" t="inlineStr">
        <is>
          <t xml:space="preserve">Plus</t>
        </is>
      </c>
      <c r="AE1" s="21" t="inlineStr">
        <is>
          <t xml:space="preserve">Minus</t>
        </is>
      </c>
    </row>
    <row r="2">
      <c r="A2" s="6" t="inlineStr">
        <is>
          <t xml:space="preserve">HRD-177-26S052587</t>
        </is>
      </c>
      <c r="B2" s="7" t="inlineStr">
        <is>
          <t xml:space="preserve">HRD-177-26S052587</t>
        </is>
      </c>
      <c r="C2" s="7" t="inlineStr">
        <is>
          <t xml:space="preserve">AHL3NVDRX7_1</t>
        </is>
      </c>
      <c r="D2" s="21" t="inlineStr">
        <is>
          <t xml:space="preserve">chr2</t>
        </is>
      </c>
      <c r="E2" s="2">
        <v>58388696</v>
      </c>
      <c r="F2" s="2">
        <v>58388696</v>
      </c>
      <c r="G2" s="21" t="inlineStr">
        <is>
          <t xml:space="preserve">A</t>
        </is>
      </c>
      <c r="H2" s="21" t="inlineStr">
        <is>
          <t xml:space="preserve">G</t>
        </is>
      </c>
      <c r="I2" s="23" t="inlineStr">
        <is>
          <t xml:space="preserve">GTCCACACTG-A-GAATTATCAC</t>
        </is>
      </c>
      <c r="J2" s="24" t="inlineStr">
        <is>
          <t xml:space="preserve">PASS;Polymorphism;WBC</t>
        </is>
      </c>
      <c r="K2" s="2">
        <v>8697</v>
      </c>
      <c r="L2" s="3">
        <v>0.4164</v>
      </c>
      <c r="M2" s="2">
        <v>3621</v>
      </c>
      <c r="N2" s="21" t="inlineStr">
        <is>
          <t xml:space="preserve">FANCL</t>
        </is>
      </c>
      <c r="O2" s="24" t="inlineStr">
        <is>
          <t xml:space="preserve">Synonymous_Substitution</t>
        </is>
      </c>
      <c r="P2" s="26" t="inlineStr">
        <is>
          <t xml:space="preserve">NM_018062.4:exon12:c.981T&gt;C:p.(S327=):p.(Ser327=)</t>
        </is>
      </c>
      <c r="Q2" s="2">
        <v>1</v>
      </c>
      <c r="R2" s="22">
        <f>HYPERLINK("https://grch37.ensembl.org/Homo_sapiens/Variation/Citations?v=rs848291", "rs848291") </f>
      </c>
      <c r="S2" s="3">
        <v>0.70647</v>
      </c>
      <c r="T2" s="3">
        <v>0.5883</v>
      </c>
      <c r="U2" s="3">
        <v>0.6173</v>
      </c>
      <c r="V2" s="3">
        <v>0.6412</v>
      </c>
      <c r="W2" s="3">
        <v>0.6411</v>
      </c>
      <c r="X2" s="3">
        <v>0.947</v>
      </c>
      <c r="Y2" s="22">
        <f>HYPERLINK("https://www.ncbi.nlm.nih.gov/clinvar/variation/257495", "257495") </f>
      </c>
      <c r="Z2" s="20" t="inlineStr">
        <is>
          <t xml:space="preserve">Benign</t>
        </is>
      </c>
      <c r="AA2" s="22">
        <f>HYPERLINK("https://grch37-cancer.sanger.ac.uk/cosmic/search?q=COSM4001713", "COSM4001713") </f>
      </c>
      <c r="AB2" s="6" t="inlineStr">
        <is>
          <t xml:space="preserve">30176882,27175599</t>
        </is>
      </c>
      <c r="AC2" s="31" t="inlineStr">
        <is>
          <t xml:space="preserve">W0654_FANCL_E12;*W0655_FANCL_E12</t>
        </is>
      </c>
      <c r="AD2" s="2">
        <v>1705</v>
      </c>
      <c r="AE2" s="2">
        <v>1916</v>
      </c>
    </row>
    <row r="3">
      <c r="A3" s="6" t="inlineStr">
        <is>
          <t xml:space="preserve">HRD-177-26S052587</t>
        </is>
      </c>
      <c r="B3" s="7" t="inlineStr">
        <is>
          <t xml:space="preserve">HRD-177-26S052587</t>
        </is>
      </c>
      <c r="C3" s="7" t="inlineStr">
        <is>
          <t xml:space="preserve">AHL3NVDRX7_1</t>
        </is>
      </c>
      <c r="D3" s="21" t="inlineStr">
        <is>
          <t xml:space="preserve">chr2</t>
        </is>
      </c>
      <c r="E3" s="2">
        <v>215632256</v>
      </c>
      <c r="F3" s="2">
        <v>215632256</v>
      </c>
      <c r="G3" s="21" t="inlineStr">
        <is>
          <t xml:space="preserve">A</t>
        </is>
      </c>
      <c r="H3" s="21" t="inlineStr">
        <is>
          <t xml:space="preserve">G</t>
        </is>
      </c>
      <c r="I3" s="23" t="inlineStr">
        <is>
          <t xml:space="preserve">CTATATCCAC-A-TGCCCATTCT</t>
        </is>
      </c>
      <c r="J3" s="24" t="inlineStr">
        <is>
          <t xml:space="preserve">PASS;Polymorphism;WBC</t>
        </is>
      </c>
      <c r="K3" s="2">
        <v>1328</v>
      </c>
      <c r="L3" s="3">
        <v>0.9955</v>
      </c>
      <c r="M3" s="2">
        <v>1322</v>
      </c>
      <c r="N3" s="21" t="inlineStr">
        <is>
          <t xml:space="preserve">BARD1</t>
        </is>
      </c>
      <c r="O3" s="24" t="inlineStr">
        <is>
          <t xml:space="preserve">Synonymous_Substitution</t>
        </is>
      </c>
      <c r="P3" s="26" t="inlineStr">
        <is>
          <t xml:space="preserve">NM_000465.4:exon6:c.1518T&gt;C:p.(H506=):p.(His506=)</t>
        </is>
      </c>
      <c r="Q3" s="2">
        <v>1</v>
      </c>
      <c r="R3" s="22">
        <f>HYPERLINK("https://grch37.ensembl.org/Homo_sapiens/Variation/Citations?v=rs2070093", "rs2070093") </f>
      </c>
      <c r="S3" s="3">
        <v>0.770567</v>
      </c>
      <c r="T3" s="3">
        <v>0.9484</v>
      </c>
      <c r="U3" s="3">
        <v>0.8181</v>
      </c>
      <c r="V3" s="3">
        <v>0.7594</v>
      </c>
      <c r="W3" s="3">
        <v>0.8384</v>
      </c>
      <c r="X3" s="3">
        <v>0.5545</v>
      </c>
      <c r="Y3" s="22">
        <f>HYPERLINK("https://www.ncbi.nlm.nih.gov/clinvar/variation/183704", "183704") </f>
      </c>
      <c r="Z3" s="20" t="inlineStr">
        <is>
          <t xml:space="preserve">Benign</t>
        </is>
      </c>
      <c r="AA3" s="22">
        <f>HYPERLINK("https://grch37-cancer.sanger.ac.uk/cosmic/search?q=COSM7131995", "COSM7131995") </f>
      </c>
      <c r="AB3" s="22">
        <f>HYPERLINK("https://www.ncbi.nlm.nih.gov/pubmed/30176882", "30176882") </f>
      </c>
      <c r="AC3" s="31" t="inlineStr">
        <is>
          <t xml:space="preserve">W0137_BARD1_E06</t>
        </is>
      </c>
      <c r="AD3" s="2">
        <v>1322</v>
      </c>
      <c r="AE3" s="2">
        <v>0</v>
      </c>
    </row>
    <row r="4">
      <c r="A4" s="6" t="inlineStr">
        <is>
          <t xml:space="preserve">HRD-177-26S052587</t>
        </is>
      </c>
      <c r="B4" s="7" t="inlineStr">
        <is>
          <t xml:space="preserve">HRD-177-26S052587</t>
        </is>
      </c>
      <c r="C4" s="7" t="inlineStr">
        <is>
          <t xml:space="preserve">AHL3NVDRX7_1</t>
        </is>
      </c>
      <c r="D4" s="21" t="inlineStr">
        <is>
          <t xml:space="preserve">chr2</t>
        </is>
      </c>
      <c r="E4" s="2">
        <v>215645545</v>
      </c>
      <c r="F4" s="2">
        <v>215645545</v>
      </c>
      <c r="G4" s="21" t="inlineStr">
        <is>
          <t xml:space="preserve">C</t>
        </is>
      </c>
      <c r="H4" s="21" t="inlineStr">
        <is>
          <t xml:space="preserve">G</t>
        </is>
      </c>
      <c r="I4" s="23" t="inlineStr">
        <is>
          <t xml:space="preserve">CTGAGGGCAC-C-GTTTGCTTAA</t>
        </is>
      </c>
      <c r="J4" s="24" t="inlineStr">
        <is>
          <t xml:space="preserve">PASS;Polymorphism;WBC</t>
        </is>
      </c>
      <c r="K4" s="2">
        <v>1813</v>
      </c>
      <c r="L4" s="3">
        <v>0.6823</v>
      </c>
      <c r="M4" s="2">
        <v>1237</v>
      </c>
      <c r="N4" s="21" t="inlineStr">
        <is>
          <t xml:space="preserve">BARD1</t>
        </is>
      </c>
      <c r="O4" s="24" t="inlineStr">
        <is>
          <t xml:space="preserve">Synonymous_Substitution</t>
        </is>
      </c>
      <c r="P4" s="26" t="inlineStr">
        <is>
          <t xml:space="preserve">NM_000465.4:exon4:c.1053G&gt;C:p.(T351=):p.(Thr351=)</t>
        </is>
      </c>
      <c r="Q4" s="2">
        <v>1</v>
      </c>
      <c r="R4" s="22">
        <f>HYPERLINK("https://grch37.ensembl.org/Homo_sapiens/Variation/Citations?v=rs2070096", "rs2070096") </f>
      </c>
      <c r="S4" s="3">
        <v>0.190296</v>
      </c>
      <c r="T4" s="3">
        <v>0.1815</v>
      </c>
      <c r="U4" s="3">
        <v>0.1839</v>
      </c>
      <c r="V4" s="3">
        <v>0.1916</v>
      </c>
      <c r="W4" s="3">
        <v>0.2444</v>
      </c>
      <c r="X4" s="3">
        <v>0.1611</v>
      </c>
      <c r="Y4" s="22">
        <f>HYPERLINK("https://www.ncbi.nlm.nih.gov/clinvar/variation/142025", "142025") </f>
      </c>
      <c r="Z4" s="20" t="inlineStr">
        <is>
          <t xml:space="preserve">Benign</t>
        </is>
      </c>
      <c r="AA4" s="22">
        <f>HYPERLINK("https://grch37-cancer.sanger.ac.uk/cosmic/search?q=COSM3757933", "COSM3757933") </f>
      </c>
      <c r="AB4" s="22">
        <f>HYPERLINK("https://www.ncbi.nlm.nih.gov/pubmed/36991000", "36991000") </f>
      </c>
      <c r="AC4" s="31" t="inlineStr">
        <is>
          <t xml:space="preserve">W0143_BARD1_E04</t>
        </is>
      </c>
      <c r="AD4" s="2">
        <v>1237</v>
      </c>
      <c r="AE4" s="2">
        <v>0</v>
      </c>
    </row>
    <row r="5">
      <c r="A5" s="6" t="inlineStr">
        <is>
          <t xml:space="preserve">HRD-177-26S052587</t>
        </is>
      </c>
      <c r="B5" s="7" t="inlineStr">
        <is>
          <t xml:space="preserve">HRD-177-26S052587</t>
        </is>
      </c>
      <c r="C5" s="7" t="inlineStr">
        <is>
          <t xml:space="preserve">AHL3NVDRX7_1</t>
        </is>
      </c>
      <c r="D5" s="21" t="inlineStr">
        <is>
          <t xml:space="preserve">chr2</t>
        </is>
      </c>
      <c r="E5" s="2">
        <v>215674224</v>
      </c>
      <c r="F5" s="2">
        <v>215674224</v>
      </c>
      <c r="G5" s="21" t="inlineStr">
        <is>
          <t xml:space="preserve">G</t>
        </is>
      </c>
      <c r="H5" s="21" t="inlineStr">
        <is>
          <t xml:space="preserve">A</t>
        </is>
      </c>
      <c r="I5" s="23" t="inlineStr">
        <is>
          <t xml:space="preserve">TCCATGGCGG-G-CGCGGAACGA</t>
        </is>
      </c>
      <c r="J5" s="24" t="inlineStr">
        <is>
          <t xml:space="preserve">PASS;Polymorphism;WBC</t>
        </is>
      </c>
      <c r="K5" s="2">
        <v>1824</v>
      </c>
      <c r="L5" s="3">
        <v>0.358</v>
      </c>
      <c r="M5" s="2">
        <v>653</v>
      </c>
      <c r="N5" s="21" t="inlineStr">
        <is>
          <t xml:space="preserve">BARD1</t>
        </is>
      </c>
      <c r="O5" s="24" t="inlineStr">
        <is>
          <t xml:space="preserve">nonSynonymous_Substitution</t>
        </is>
      </c>
      <c r="P5" s="26" t="inlineStr">
        <is>
          <t xml:space="preserve">NM_000465.4:exon1:c.70C&gt;T:p.(P24S):p.(Pro24Ser)</t>
        </is>
      </c>
      <c r="Q5" s="2">
        <v>1</v>
      </c>
      <c r="R5" s="22">
        <f>HYPERLINK("https://grch37.ensembl.org/Homo_sapiens/Variation/Citations?v=rs1048108", "rs1048108") </f>
      </c>
      <c r="S5" s="3">
        <v>0.33127</v>
      </c>
      <c r="T5" s="3">
        <v>0.3313</v>
      </c>
      <c r="U5" s="3">
        <v>0.3946</v>
      </c>
      <c r="V5" s="3">
        <v>0.4006</v>
      </c>
      <c r="W5" s="3">
        <v>0.4039</v>
      </c>
      <c r="X5" s="3">
        <v>0.1929</v>
      </c>
      <c r="Y5" s="22">
        <f>HYPERLINK("https://www.ncbi.nlm.nih.gov/clinvar/variation/183698", "183698") </f>
      </c>
      <c r="Z5" s="20" t="inlineStr">
        <is>
          <t xml:space="preserve">Benign</t>
        </is>
      </c>
      <c r="AA5" s="22">
        <f>HYPERLINK("https://grch37-cancer.sanger.ac.uk/cosmic/search?q=COSM1482743", "COSM1482743") </f>
      </c>
      <c r="AB5" s="6" t="inlineStr">
        <is>
          <t xml:space="preserve">31636198,39895895</t>
        </is>
      </c>
      <c r="AC5" s="31" t="inlineStr">
        <is>
          <t xml:space="preserve">*W0153_BARD1_E01;*W0154_BARD1_E01</t>
        </is>
      </c>
      <c r="AD5" s="2">
        <v>316</v>
      </c>
      <c r="AE5" s="2">
        <v>337</v>
      </c>
    </row>
    <row r="6">
      <c r="A6" s="6" t="inlineStr">
        <is>
          <t xml:space="preserve">HRD-177-26S052587</t>
        </is>
      </c>
      <c r="B6" s="7" t="inlineStr">
        <is>
          <t xml:space="preserve">HRD-177-26S052587</t>
        </is>
      </c>
      <c r="C6" s="7" t="inlineStr">
        <is>
          <t xml:space="preserve">AHL3NVDRX7_1</t>
        </is>
      </c>
      <c r="D6" s="21" t="inlineStr">
        <is>
          <t xml:space="preserve">chr6</t>
        </is>
      </c>
      <c r="E6" s="2">
        <v>114265587</v>
      </c>
      <c r="F6" s="2">
        <v>114265587</v>
      </c>
      <c r="G6" s="21" t="inlineStr">
        <is>
          <t xml:space="preserve">T</t>
        </is>
      </c>
      <c r="H6" s="21" t="inlineStr">
        <is>
          <t xml:space="preserve">C</t>
        </is>
      </c>
      <c r="I6" s="23" t="inlineStr">
        <is>
          <t xml:space="preserve">AAATTACACA-T-GCAAAGTTTA</t>
        </is>
      </c>
      <c r="J6" s="24" t="inlineStr">
        <is>
          <t xml:space="preserve">PASS;Polymorphism;WBC</t>
        </is>
      </c>
      <c r="K6" s="2">
        <v>2181</v>
      </c>
      <c r="L6" s="3">
        <v>0.9963</v>
      </c>
      <c r="M6" s="2">
        <v>2173</v>
      </c>
      <c r="N6" s="21" t="inlineStr">
        <is>
          <t xml:space="preserve">HDAC2</t>
        </is>
      </c>
      <c r="O6" s="24" t="inlineStr">
        <is>
          <t xml:space="preserve">Intronic</t>
        </is>
      </c>
      <c r="P6" s="26" t="inlineStr">
        <is>
          <t xml:space="preserve">NM_001527.4:intron10:c.1092-13A&gt;G:p.?:p.?</t>
        </is>
      </c>
      <c r="Q6" s="2">
        <v>1</v>
      </c>
      <c r="R6" s="22">
        <f>HYPERLINK("https://grch37.ensembl.org/Homo_sapiens/Variation/Citations?v=rs13204445", "rs13204445") </f>
      </c>
      <c r="S6" s="3">
        <v>0.217652</v>
      </c>
      <c r="T6" s="3">
        <v>0.2927</v>
      </c>
      <c r="U6" s="3">
        <v>0.2614</v>
      </c>
      <c r="V6" s="3">
        <v>0.1686</v>
      </c>
      <c r="W6" s="3">
        <v>0.2822</v>
      </c>
      <c r="X6" s="3">
        <v>0.1051</v>
      </c>
      <c r="Y6" s="30" t="inlineStr">
        <is>
          <t xml:space="preserve">NA</t>
        </is>
      </c>
      <c r="Z6" s="20" t="inlineStr">
        <is>
          <t xml:space="preserve">NA</t>
        </is>
      </c>
      <c r="AA6" s="22">
        <f>HYPERLINK("https://grch37-cancer.sanger.ac.uk/cosmic/search?q=COSN31765346", "COSN31765346") </f>
      </c>
      <c r="AB6" s="6" t="inlineStr">
        <is>
          <t xml:space="preserve">24997986,36991000</t>
        </is>
      </c>
      <c r="AC6" s="31" t="inlineStr">
        <is>
          <t xml:space="preserve">W0682_HDAC2_E11</t>
        </is>
      </c>
      <c r="AD6" s="2">
        <v>2173</v>
      </c>
      <c r="AE6" s="2">
        <v>0</v>
      </c>
    </row>
    <row r="7">
      <c r="A7" s="6" t="inlineStr">
        <is>
          <t xml:space="preserve">HRD-177-26S052587</t>
        </is>
      </c>
      <c r="B7" s="7" t="inlineStr">
        <is>
          <t xml:space="preserve">HRD-177-26S052587</t>
        </is>
      </c>
      <c r="C7" s="7" t="inlineStr">
        <is>
          <t xml:space="preserve">AHL3NVDRX7_1</t>
        </is>
      </c>
      <c r="D7" s="21" t="inlineStr">
        <is>
          <t xml:space="preserve">chr6</t>
        </is>
      </c>
      <c r="E7" s="2">
        <v>114270156</v>
      </c>
      <c r="F7" s="2">
        <v>114270156</v>
      </c>
      <c r="G7" s="21" t="inlineStr">
        <is>
          <t xml:space="preserve">A</t>
        </is>
      </c>
      <c r="H7" s="21" t="inlineStr">
        <is>
          <t xml:space="preserve">G</t>
        </is>
      </c>
      <c r="I7" s="23" t="inlineStr">
        <is>
          <t xml:space="preserve">TGACTGTTAG-A-TTGAAACAAC</t>
        </is>
      </c>
      <c r="J7" s="24" t="inlineStr">
        <is>
          <t xml:space="preserve">PASS</t>
        </is>
      </c>
      <c r="K7" s="2">
        <v>1751</v>
      </c>
      <c r="L7" s="3">
        <v>0.6094</v>
      </c>
      <c r="M7" s="2">
        <v>1067</v>
      </c>
      <c r="N7" s="21" t="inlineStr">
        <is>
          <t xml:space="preserve">HDAC2</t>
        </is>
      </c>
      <c r="O7" s="24" t="inlineStr">
        <is>
          <t xml:space="preserve">Synonymous_Substitution</t>
        </is>
      </c>
      <c r="P7" s="26" t="inlineStr">
        <is>
          <t xml:space="preserve">NM_001527.4:exon8:c.828T&gt;C:p.(N276=):p.(Asn276=)</t>
        </is>
      </c>
      <c r="Q7" s="2">
        <v>3</v>
      </c>
      <c r="R7" s="22">
        <f>HYPERLINK("https://grch37.ensembl.org/Homo_sapiens/Variation/Citations?v=rs1312530731", "rs1312530731") </f>
      </c>
      <c r="S7" s="28" t="inlineStr">
        <is>
          <t xml:space="preserve">NA</t>
        </is>
      </c>
      <c r="T7" s="29" t="inlineStr">
        <is>
          <t xml:space="preserve">NA</t>
        </is>
      </c>
      <c r="U7" s="29" t="inlineStr">
        <is>
          <t xml:space="preserve">NA</t>
        </is>
      </c>
      <c r="V7" s="29" t="inlineStr">
        <is>
          <t xml:space="preserve">NA</t>
        </is>
      </c>
      <c r="W7" s="29" t="inlineStr">
        <is>
          <t xml:space="preserve">NA</t>
        </is>
      </c>
      <c r="X7" s="29" t="inlineStr">
        <is>
          <t xml:space="preserve">NA</t>
        </is>
      </c>
      <c r="Y7" s="30" t="inlineStr">
        <is>
          <t xml:space="preserve">NA</t>
        </is>
      </c>
      <c r="Z7" s="20" t="inlineStr">
        <is>
          <t xml:space="preserve">NA</t>
        </is>
      </c>
      <c r="AA7" s="6" t="inlineStr">
        <is>
          <t xml:space="preserve">NA</t>
        </is>
      </c>
      <c r="AB7" s="6" t="inlineStr">
        <is>
          <t xml:space="preserve">NA</t>
        </is>
      </c>
      <c r="AC7" s="31" t="inlineStr">
        <is>
          <t xml:space="preserve">W0687_HDAC2_E08-07</t>
        </is>
      </c>
      <c r="AD7" s="2">
        <v>1067</v>
      </c>
      <c r="AE7" s="2">
        <v>0</v>
      </c>
    </row>
    <row r="8">
      <c r="A8" s="6" t="inlineStr">
        <is>
          <t xml:space="preserve">HRD-177-26S052587</t>
        </is>
      </c>
      <c r="B8" s="7" t="inlineStr">
        <is>
          <t xml:space="preserve">HRD-177-26S052587</t>
        </is>
      </c>
      <c r="C8" s="7" t="inlineStr">
        <is>
          <t xml:space="preserve">AHL3NVDRX7_1</t>
        </is>
      </c>
      <c r="D8" s="21" t="inlineStr">
        <is>
          <t xml:space="preserve">chr8</t>
        </is>
      </c>
      <c r="E8" s="2">
        <v>26221331</v>
      </c>
      <c r="F8" s="2">
        <v>26221331</v>
      </c>
      <c r="G8" s="21" t="inlineStr">
        <is>
          <t xml:space="preserve">T</t>
        </is>
      </c>
      <c r="H8" s="21" t="inlineStr">
        <is>
          <t xml:space="preserve">C</t>
        </is>
      </c>
      <c r="I8" s="23" t="inlineStr">
        <is>
          <t xml:space="preserve">GTGGTCGATA-T-ATGATGACTA</t>
        </is>
      </c>
      <c r="J8" s="24" t="inlineStr">
        <is>
          <t xml:space="preserve">PASS;Polymorphism;WBC</t>
        </is>
      </c>
      <c r="K8" s="2">
        <v>4195</v>
      </c>
      <c r="L8" s="3">
        <v>0.6029</v>
      </c>
      <c r="M8" s="2">
        <v>2529</v>
      </c>
      <c r="N8" s="21" t="inlineStr">
        <is>
          <t xml:space="preserve">PPP2R2A</t>
        </is>
      </c>
      <c r="O8" s="24" t="inlineStr">
        <is>
          <t xml:space="preserve">Synonymous_Substitution</t>
        </is>
      </c>
      <c r="P8" s="26" t="inlineStr">
        <is>
          <t xml:space="preserve">NM_002717.4:exon8:c.897T&gt;C:p.(Y299=):p.(Tyr299=)</t>
        </is>
      </c>
      <c r="Q8" s="2">
        <v>1</v>
      </c>
      <c r="R8" s="22">
        <f>HYPERLINK("https://grch37.ensembl.org/Homo_sapiens/Variation/Citations?v=rs2229762", "rs2229762") </f>
      </c>
      <c r="S8" s="3">
        <v>0.0197684</v>
      </c>
      <c r="T8" s="3">
        <v>0.0784</v>
      </c>
      <c r="U8" s="29" t="inlineStr">
        <is>
          <t xml:space="preserve">-</t>
        </is>
      </c>
      <c r="V8" s="3">
        <v>0.0274</v>
      </c>
      <c r="W8" s="3">
        <v>0.001</v>
      </c>
      <c r="X8" s="29" t="inlineStr">
        <is>
          <t xml:space="preserve">-</t>
        </is>
      </c>
      <c r="Y8" s="30" t="inlineStr">
        <is>
          <t xml:space="preserve">NA</t>
        </is>
      </c>
      <c r="Z8" s="20" t="inlineStr">
        <is>
          <t xml:space="preserve">NA</t>
        </is>
      </c>
      <c r="AA8" s="22">
        <f>HYPERLINK("https://grch37-cancer.sanger.ac.uk/cosmic/search?q=COSM4416332", "COSM4416332") </f>
      </c>
      <c r="AB8" s="22">
        <f>HYPERLINK("https://www.ncbi.nlm.nih.gov/pubmed/32952556", "32952556") </f>
      </c>
      <c r="AC8" s="31" t="inlineStr">
        <is>
          <t xml:space="preserve">*W0755_PPP2R2A_E08;*W0756_PPP2R2A_E08</t>
        </is>
      </c>
      <c r="AD8" s="2">
        <v>1318</v>
      </c>
      <c r="AE8" s="2">
        <v>1211</v>
      </c>
    </row>
    <row r="9">
      <c r="A9" s="6" t="inlineStr">
        <is>
          <t xml:space="preserve">HRD-177-26S052587</t>
        </is>
      </c>
      <c r="B9" s="7" t="inlineStr">
        <is>
          <t xml:space="preserve">HRD-177-26S052587</t>
        </is>
      </c>
      <c r="C9" s="7" t="inlineStr">
        <is>
          <t xml:space="preserve">AHL3NVDRX7_1</t>
        </is>
      </c>
      <c r="D9" s="21" t="inlineStr">
        <is>
          <t xml:space="preserve">chr8</t>
        </is>
      </c>
      <c r="E9" s="2">
        <v>26227640</v>
      </c>
      <c r="F9" s="2">
        <v>26227640</v>
      </c>
      <c r="G9" s="21" t="inlineStr">
        <is>
          <t xml:space="preserve">A</t>
        </is>
      </c>
      <c r="H9" s="21" t="inlineStr">
        <is>
          <t xml:space="preserve">G</t>
        </is>
      </c>
      <c r="I9" s="23" t="inlineStr">
        <is>
          <t xml:space="preserve">TGTACTGTCT-A-TTTTCACAGT</t>
        </is>
      </c>
      <c r="J9" s="24" t="inlineStr">
        <is>
          <t xml:space="preserve">PASS;Polymorphism;WBC</t>
        </is>
      </c>
      <c r="K9" s="2">
        <v>1909</v>
      </c>
      <c r="L9" s="3">
        <v>0.6145</v>
      </c>
      <c r="M9" s="2">
        <v>1173</v>
      </c>
      <c r="N9" s="21" t="inlineStr">
        <is>
          <t xml:space="preserve">PPP2R2A</t>
        </is>
      </c>
      <c r="O9" s="24" t="inlineStr">
        <is>
          <t xml:space="preserve">Intronic</t>
        </is>
      </c>
      <c r="P9" s="26" t="inlineStr">
        <is>
          <t xml:space="preserve">NM_002717.4:intron9:c.1065-10A&gt;G:p.?:p.?</t>
        </is>
      </c>
      <c r="Q9" s="2">
        <v>1</v>
      </c>
      <c r="R9" s="22">
        <f>HYPERLINK("https://grch37.ensembl.org/Homo_sapiens/Variation/Citations?v=rs3808565", "rs3808565") </f>
      </c>
      <c r="S9" s="3">
        <v>0.144569</v>
      </c>
      <c r="T9" s="3">
        <v>0.4325</v>
      </c>
      <c r="U9" s="3">
        <v>0.0308</v>
      </c>
      <c r="V9" s="3">
        <v>0.0476</v>
      </c>
      <c r="W9" s="3">
        <v>0.0849</v>
      </c>
      <c r="X9" s="3">
        <v>0.1067</v>
      </c>
      <c r="Y9" s="22">
        <f>HYPERLINK("https://www.ncbi.nlm.nih.gov/clinvar/variation/1679073", "1679073") </f>
      </c>
      <c r="Z9" s="20" t="inlineStr">
        <is>
          <t xml:space="preserve">Benign</t>
        </is>
      </c>
      <c r="AA9" s="22">
        <f>HYPERLINK("https://grch37-cancer.sanger.ac.uk/cosmic/search?q=COSM6310504", "COSM6310504") </f>
      </c>
      <c r="AB9" s="22">
        <f>HYPERLINK("https://www.ncbi.nlm.nih.gov/pubmed/28270497", "28270497") </f>
      </c>
      <c r="AC9" s="31" t="inlineStr">
        <is>
          <t xml:space="preserve">W0759_PPP2R2A_E10</t>
        </is>
      </c>
      <c r="AD9" s="2">
        <v>1173</v>
      </c>
      <c r="AE9" s="2">
        <v>0</v>
      </c>
    </row>
    <row r="10">
      <c r="A10" s="6" t="inlineStr">
        <is>
          <t xml:space="preserve">HRD-177-26S052587</t>
        </is>
      </c>
      <c r="B10" s="7" t="inlineStr">
        <is>
          <t xml:space="preserve">HRD-177-26S052587</t>
        </is>
      </c>
      <c r="C10" s="7" t="inlineStr">
        <is>
          <t xml:space="preserve">AHL3NVDRX7_1</t>
        </is>
      </c>
      <c r="D10" s="21" t="inlineStr">
        <is>
          <t xml:space="preserve">chr11</t>
        </is>
      </c>
      <c r="E10" s="2">
        <v>108183167</v>
      </c>
      <c r="F10" s="2">
        <v>108183167</v>
      </c>
      <c r="G10" s="21" t="inlineStr">
        <is>
          <t xml:space="preserve">A</t>
        </is>
      </c>
      <c r="H10" s="21" t="inlineStr">
        <is>
          <t xml:space="preserve">G</t>
        </is>
      </c>
      <c r="I10" s="23" t="inlineStr">
        <is>
          <t xml:space="preserve">GGAAGCCAGA-A-TACAACTATT</t>
        </is>
      </c>
      <c r="J10" s="24" t="inlineStr">
        <is>
          <t xml:space="preserve">PASS;Polymorphism;WBC</t>
        </is>
      </c>
      <c r="K10" s="2">
        <v>6429</v>
      </c>
      <c r="L10" s="3">
        <v>0.9986</v>
      </c>
      <c r="M10" s="2">
        <v>6420</v>
      </c>
      <c r="N10" s="21" t="inlineStr">
        <is>
          <t xml:space="preserve">ATM</t>
        </is>
      </c>
      <c r="O10" s="24" t="inlineStr">
        <is>
          <t xml:space="preserve">nonSynonymous_Substitution</t>
        </is>
      </c>
      <c r="P10" s="26" t="inlineStr">
        <is>
          <t xml:space="preserve">NM_000051.4:exon40:c.5948A&gt;G:p.(N1983S):p.(Asn1983Ser)</t>
        </is>
      </c>
      <c r="Q10" s="2">
        <v>1</v>
      </c>
      <c r="R10" s="22">
        <f>HYPERLINK("https://grch37.ensembl.org/Homo_sapiens/Variation/Citations?v=rs659243", "rs659243") </f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22">
        <f>HYPERLINK("https://www.ncbi.nlm.nih.gov/clinvar/variation/133627", "133627") </f>
      </c>
      <c r="Z10" s="20" t="inlineStr">
        <is>
          <t xml:space="preserve">Benign</t>
        </is>
      </c>
      <c r="AA10" s="22">
        <f>HYPERLINK("https://grch37-cancer.sanger.ac.uk/cosmic/search?q=COSM4590263", "COSM4590263") </f>
      </c>
      <c r="AB10" s="6" t="inlineStr">
        <is>
          <t xml:space="preserve">25275298,39895895,31636198,30176882</t>
        </is>
      </c>
      <c r="AC10" s="31" t="inlineStr">
        <is>
          <t xml:space="preserve">W0077_ATM_E40;W0078_ATM_E40</t>
        </is>
      </c>
      <c r="AD10" s="2">
        <v>2110</v>
      </c>
      <c r="AE10" s="2">
        <v>4310</v>
      </c>
    </row>
    <row r="11">
      <c r="A11" s="6" t="inlineStr">
        <is>
          <t xml:space="preserve">HRD-177-26S052587</t>
        </is>
      </c>
      <c r="B11" s="7" t="inlineStr">
        <is>
          <t xml:space="preserve">HRD-177-26S052587</t>
        </is>
      </c>
      <c r="C11" s="7" t="inlineStr">
        <is>
          <t xml:space="preserve">AHL3NVDRX7_1</t>
        </is>
      </c>
      <c r="D11" s="21" t="inlineStr">
        <is>
          <t xml:space="preserve">chr11</t>
        </is>
      </c>
      <c r="E11" s="2">
        <v>125525195</v>
      </c>
      <c r="F11" s="2">
        <v>125525195</v>
      </c>
      <c r="G11" s="21" t="inlineStr">
        <is>
          <t xml:space="preserve">A</t>
        </is>
      </c>
      <c r="H11" s="21" t="inlineStr">
        <is>
          <t xml:space="preserve">G</t>
        </is>
      </c>
      <c r="I11" s="23" t="inlineStr">
        <is>
          <t xml:space="preserve">CAGCCAGAAG-A-TTTGGCTTCC</t>
        </is>
      </c>
      <c r="J11" s="24" t="inlineStr">
        <is>
          <t xml:space="preserve">PASS;Polymorphism;WBC</t>
        </is>
      </c>
      <c r="K11" s="2">
        <v>4048</v>
      </c>
      <c r="L11" s="3">
        <v>0.999</v>
      </c>
      <c r="M11" s="2">
        <v>4044</v>
      </c>
      <c r="N11" s="21" t="inlineStr">
        <is>
          <t xml:space="preserve">CHEK1</t>
        </is>
      </c>
      <c r="O11" s="24" t="inlineStr">
        <is>
          <t xml:space="preserve">nonSynonymous_Substitution</t>
        </is>
      </c>
      <c r="P11" s="26" t="inlineStr">
        <is>
          <t xml:space="preserve">NM_001114122.3:exon13:c.1411A&gt;G:p.(I471V):p.(Ile471Val)</t>
        </is>
      </c>
      <c r="Q11" s="2">
        <v>1</v>
      </c>
      <c r="R11" s="22">
        <f>HYPERLINK("https://grch37.ensembl.org/Homo_sapiens/Variation/Citations?v=rs506504", "rs506504") </f>
      </c>
      <c r="S11" s="3">
        <v>0.985823</v>
      </c>
      <c r="T11" s="3">
        <v>1</v>
      </c>
      <c r="U11" s="3">
        <v>0.9672</v>
      </c>
      <c r="V11" s="3">
        <v>0.9726</v>
      </c>
      <c r="W11" s="3">
        <v>0.9847</v>
      </c>
      <c r="X11" s="3">
        <v>0.997</v>
      </c>
      <c r="Y11" s="22">
        <f>HYPERLINK("https://www.ncbi.nlm.nih.gov/clinvar/variation/496139", "496139") </f>
      </c>
      <c r="Z11" s="20" t="inlineStr">
        <is>
          <t xml:space="preserve">Benign</t>
        </is>
      </c>
      <c r="AA11" s="22">
        <f>HYPERLINK("https://grch37-cancer.sanger.ac.uk/cosmic/search?q=COSM9501006", "COSM9501006") </f>
      </c>
      <c r="AB11" s="6" t="inlineStr">
        <is>
          <t xml:space="preserve">39895895,30176882,31636198</t>
        </is>
      </c>
      <c r="AC11" s="31" t="inlineStr">
        <is>
          <t xml:space="preserve">W0541_CHEK1_E13</t>
        </is>
      </c>
      <c r="AD11" s="2">
        <v>4044</v>
      </c>
      <c r="AE11" s="2">
        <v>0</v>
      </c>
    </row>
    <row r="12">
      <c r="A12" s="6" t="inlineStr">
        <is>
          <t xml:space="preserve">HRD-177-26S052587</t>
        </is>
      </c>
      <c r="B12" s="7" t="inlineStr">
        <is>
          <t xml:space="preserve">HRD-177-26S052587</t>
        </is>
      </c>
      <c r="C12" s="7" t="inlineStr">
        <is>
          <t xml:space="preserve">AHL3NVDRX7_1</t>
        </is>
      </c>
      <c r="D12" s="21" t="inlineStr">
        <is>
          <t xml:space="preserve">chr13</t>
        </is>
      </c>
      <c r="E12" s="2">
        <v>32906729</v>
      </c>
      <c r="F12" s="2">
        <v>32906729</v>
      </c>
      <c r="G12" s="21" t="inlineStr">
        <is>
          <t xml:space="preserve">A</t>
        </is>
      </c>
      <c r="H12" s="21" t="inlineStr">
        <is>
          <t xml:space="preserve">C</t>
        </is>
      </c>
      <c r="I12" s="23" t="inlineStr">
        <is>
          <t xml:space="preserve">AAATGTAGCA-A-ATCAGAAGCC</t>
        </is>
      </c>
      <c r="J12" s="24" t="inlineStr">
        <is>
          <t xml:space="preserve">PASS;Polymorphism;WBC</t>
        </is>
      </c>
      <c r="K12" s="2">
        <v>4958</v>
      </c>
      <c r="L12" s="3">
        <v>0.4018</v>
      </c>
      <c r="M12" s="2">
        <v>1992</v>
      </c>
      <c r="N12" s="21" t="inlineStr">
        <is>
          <t xml:space="preserve">BRCA2</t>
        </is>
      </c>
      <c r="O12" s="24" t="inlineStr">
        <is>
          <t xml:space="preserve">nonSynonymous_Substitution</t>
        </is>
      </c>
      <c r="P12" s="26" t="inlineStr">
        <is>
          <t xml:space="preserve">NM_000059.4:exon10:c.1114A&gt;C:p.(N372H):p.(Asn372His)</t>
        </is>
      </c>
      <c r="Q12" s="2">
        <v>1</v>
      </c>
      <c r="R12" s="22">
        <f>HYPERLINK("https://grch37.ensembl.org/Homo_sapiens/Variation/Citations?v=rs144848", "rs144848") </f>
      </c>
      <c r="S12" s="3">
        <v>0.249401</v>
      </c>
      <c r="T12" s="3">
        <v>0.2847</v>
      </c>
      <c r="U12" s="3">
        <v>0.2952</v>
      </c>
      <c r="V12" s="3">
        <v>0.2997</v>
      </c>
      <c r="W12" s="3">
        <v>0.3538</v>
      </c>
      <c r="X12" s="3">
        <v>0.084</v>
      </c>
      <c r="Y12" s="22">
        <f>HYPERLINK("https://www.ncbi.nlm.nih.gov/clinvar/variation/9329", "9329") </f>
      </c>
      <c r="Z12" s="20" t="inlineStr">
        <is>
          <t xml:space="preserve">Benign</t>
        </is>
      </c>
      <c r="AA12" s="22">
        <f>HYPERLINK("https://grch37-cancer.sanger.ac.uk/cosmic/search?q=COSM147663", "COSM147663") </f>
      </c>
      <c r="AB12" s="6" t="inlineStr">
        <is>
          <t xml:space="preserve">38039962,27175599,24793135,24599305</t>
        </is>
      </c>
      <c r="AC12" s="31" t="inlineStr">
        <is>
          <t xml:space="preserve">*W0275_BRCA2_E10;W0276_BRCA2_E10</t>
        </is>
      </c>
      <c r="AD12" s="2">
        <v>890</v>
      </c>
      <c r="AE12" s="2">
        <v>1102</v>
      </c>
    </row>
    <row r="13">
      <c r="A13" s="6" t="inlineStr">
        <is>
          <t xml:space="preserve">HRD-177-26S052587</t>
        </is>
      </c>
      <c r="B13" s="7" t="inlineStr">
        <is>
          <t xml:space="preserve">HRD-177-26S052587</t>
        </is>
      </c>
      <c r="C13" s="7" t="inlineStr">
        <is>
          <t xml:space="preserve">AHL3NVDRX7_1</t>
        </is>
      </c>
      <c r="D13" s="21" t="inlineStr">
        <is>
          <t xml:space="preserve">chr13</t>
        </is>
      </c>
      <c r="E13" s="2">
        <v>32911499</v>
      </c>
      <c r="F13" s="2">
        <v>32911499</v>
      </c>
      <c r="G13" s="21" t="inlineStr">
        <is>
          <t xml:space="preserve">C</t>
        </is>
      </c>
      <c r="H13" s="21" t="inlineStr">
        <is>
          <t xml:space="preserve">G</t>
        </is>
      </c>
      <c r="I13" s="23" t="inlineStr">
        <is>
          <t xml:space="preserve">AATTTCAAAT-C-ACAGTTTTGG</t>
        </is>
      </c>
      <c r="J13" s="24" t="inlineStr">
        <is>
          <t xml:space="preserve">PASS;WBC</t>
        </is>
      </c>
      <c r="K13" s="2">
        <v>4996</v>
      </c>
      <c r="L13" s="3">
        <v>0.6055</v>
      </c>
      <c r="M13" s="2">
        <v>3025</v>
      </c>
      <c r="N13" s="21" t="inlineStr">
        <is>
          <t xml:space="preserve">BRCA2</t>
        </is>
      </c>
      <c r="O13" s="24" t="inlineStr">
        <is>
          <t xml:space="preserve">nonSynonymous_Substitution</t>
        </is>
      </c>
      <c r="P13" s="26" t="inlineStr">
        <is>
          <t xml:space="preserve">NM_000059.4:exon11:c.3007C&gt;G:p.(H1003D):p.(His1003Asp)</t>
        </is>
      </c>
      <c r="Q13" s="2">
        <v>2</v>
      </c>
      <c r="R13" s="22">
        <f>HYPERLINK("https://grch37.ensembl.org/Homo_sapiens/Variation/Citations?v=rs878853565", "rs878853565") </f>
      </c>
      <c r="S13" s="28" t="inlineStr">
        <is>
          <t xml:space="preserve">NA</t>
        </is>
      </c>
      <c r="T13" s="29" t="inlineStr">
        <is>
          <t xml:space="preserve">NA</t>
        </is>
      </c>
      <c r="U13" s="29" t="inlineStr">
        <is>
          <t xml:space="preserve">NA</t>
        </is>
      </c>
      <c r="V13" s="29" t="inlineStr">
        <is>
          <t xml:space="preserve">NA</t>
        </is>
      </c>
      <c r="W13" s="29" t="inlineStr">
        <is>
          <t xml:space="preserve">NA</t>
        </is>
      </c>
      <c r="X13" s="29" t="inlineStr">
        <is>
          <t xml:space="preserve">NA</t>
        </is>
      </c>
      <c r="Y13" s="22">
        <f>HYPERLINK("https://www.ncbi.nlm.nih.gov/clinvar/variation/236845", "236845") </f>
      </c>
      <c r="Z13" s="20" t="inlineStr">
        <is>
          <t xml:space="preserve">Conflicting_classifications_of_pathogenicity</t>
        </is>
      </c>
      <c r="AA13" s="6" t="inlineStr">
        <is>
          <t xml:space="preserve">NA</t>
        </is>
      </c>
      <c r="AB13" s="6" t="inlineStr">
        <is>
          <t xml:space="preserve">30415210,19499246,32694901,33078592</t>
        </is>
      </c>
      <c r="AC13" s="31" t="inlineStr">
        <is>
          <t xml:space="preserve">*W0295_BRCA2_E11;*W0296_BRCA2_E11</t>
        </is>
      </c>
      <c r="AD13" s="2">
        <v>1335</v>
      </c>
      <c r="AE13" s="2">
        <v>1690</v>
      </c>
    </row>
    <row r="14">
      <c r="A14" s="6" t="inlineStr">
        <is>
          <t xml:space="preserve">HRD-177-26S052587</t>
        </is>
      </c>
      <c r="B14" s="7" t="inlineStr">
        <is>
          <t xml:space="preserve">HRD-177-26S052587</t>
        </is>
      </c>
      <c r="C14" s="7" t="inlineStr">
        <is>
          <t xml:space="preserve">AHL3NVDRX7_1</t>
        </is>
      </c>
      <c r="D14" s="21" t="inlineStr">
        <is>
          <t xml:space="preserve">chr13</t>
        </is>
      </c>
      <c r="E14" s="2">
        <v>32911888</v>
      </c>
      <c r="F14" s="2">
        <v>32911888</v>
      </c>
      <c r="G14" s="21" t="inlineStr">
        <is>
          <t xml:space="preserve">A</t>
        </is>
      </c>
      <c r="H14" s="21" t="inlineStr">
        <is>
          <t xml:space="preserve">G</t>
        </is>
      </c>
      <c r="I14" s="23" t="inlineStr">
        <is>
          <t xml:space="preserve">AGTTTAGAAA-A-CCAAGCTACA</t>
        </is>
      </c>
      <c r="J14" s="24" t="inlineStr">
        <is>
          <t xml:space="preserve">PASS;Polymorphism;WBC</t>
        </is>
      </c>
      <c r="K14" s="2">
        <v>4551</v>
      </c>
      <c r="L14" s="3">
        <v>0.612</v>
      </c>
      <c r="M14" s="2">
        <v>2785</v>
      </c>
      <c r="N14" s="21" t="inlineStr">
        <is>
          <t xml:space="preserve">BRCA2</t>
        </is>
      </c>
      <c r="O14" s="24" t="inlineStr">
        <is>
          <t xml:space="preserve">Synonymous_Substitution</t>
        </is>
      </c>
      <c r="P14" s="26" t="inlineStr">
        <is>
          <t xml:space="preserve">NM_000059.4:exon11:c.3396A&gt;G:p.(K1132=):p.(Lys1132=)</t>
        </is>
      </c>
      <c r="Q14" s="2">
        <v>1</v>
      </c>
      <c r="R14" s="22">
        <f>HYPERLINK("https://grch37.ensembl.org/Homo_sapiens/Variation/Citations?v=rs1801406", "rs1801406") </f>
      </c>
      <c r="S14" s="3">
        <v>0.266773</v>
      </c>
      <c r="T14" s="3">
        <v>0.3681</v>
      </c>
      <c r="U14" s="3">
        <v>0.2753</v>
      </c>
      <c r="V14" s="3">
        <v>0.2378</v>
      </c>
      <c r="W14" s="3">
        <v>0.2515</v>
      </c>
      <c r="X14" s="3">
        <v>0.2095</v>
      </c>
      <c r="Y14" s="22">
        <f>HYPERLINK("https://www.ncbi.nlm.nih.gov/clinvar/variation/126010", "126010") </f>
      </c>
      <c r="Z14" s="20" t="inlineStr">
        <is>
          <t xml:space="preserve">Benign</t>
        </is>
      </c>
      <c r="AA14" s="22">
        <f>HYPERLINK("https://grch37-cancer.sanger.ac.uk/cosmic/search?q=COSM4415775", "COSM4415775") </f>
      </c>
      <c r="AB14" s="6" t="inlineStr">
        <is>
          <t xml:space="preserve">38039962,30176882,25496518,36991000</t>
        </is>
      </c>
      <c r="AC14" s="31" t="inlineStr">
        <is>
          <t xml:space="preserve">W0299_BRCA2_E11;W0300_BRCA2_E11</t>
        </is>
      </c>
      <c r="AD14" s="2">
        <v>1350</v>
      </c>
      <c r="AE14" s="2">
        <v>1435</v>
      </c>
    </row>
    <row r="15">
      <c r="A15" s="6" t="inlineStr">
        <is>
          <t xml:space="preserve">HRD-177-26S052587</t>
        </is>
      </c>
      <c r="B15" s="7" t="inlineStr">
        <is>
          <t xml:space="preserve">HRD-177-26S052587</t>
        </is>
      </c>
      <c r="C15" s="7" t="inlineStr">
        <is>
          <t xml:space="preserve">AHL3NVDRX7_1</t>
        </is>
      </c>
      <c r="D15" s="21" t="inlineStr">
        <is>
          <t xml:space="preserve">chr13</t>
        </is>
      </c>
      <c r="E15" s="2">
        <v>32913055</v>
      </c>
      <c r="F15" s="2">
        <v>32913055</v>
      </c>
      <c r="G15" s="21" t="inlineStr">
        <is>
          <t xml:space="preserve">A</t>
        </is>
      </c>
      <c r="H15" s="21" t="inlineStr">
        <is>
          <t xml:space="preserve">G</t>
        </is>
      </c>
      <c r="I15" s="23" t="inlineStr">
        <is>
          <t xml:space="preserve">AACCTACTCT-A-TTGGGTTTTC</t>
        </is>
      </c>
      <c r="J15" s="24" t="inlineStr">
        <is>
          <t xml:space="preserve">PASS;Polymorphism;WBC</t>
        </is>
      </c>
      <c r="K15" s="2">
        <v>4359</v>
      </c>
      <c r="L15" s="3">
        <v>0.9982</v>
      </c>
      <c r="M15" s="2">
        <v>4351</v>
      </c>
      <c r="N15" s="21" t="inlineStr">
        <is>
          <t xml:space="preserve">BRCA2</t>
        </is>
      </c>
      <c r="O15" s="24" t="inlineStr">
        <is>
          <t xml:space="preserve">Synonymous_Substitution</t>
        </is>
      </c>
      <c r="P15" s="26" t="inlineStr">
        <is>
          <t xml:space="preserve">NM_000059.4:exon11:c.4563A&gt;G:p.(L1521=):p.(Leu1521=)</t>
        </is>
      </c>
      <c r="Q15" s="2">
        <v>1</v>
      </c>
      <c r="R15" s="22">
        <f>HYPERLINK("https://grch37.ensembl.org/Homo_sapiens/Variation/Citations?v=rs206075", "rs206075") </f>
      </c>
      <c r="S15" s="3">
        <v>0.974042</v>
      </c>
      <c r="T15" s="3">
        <v>1</v>
      </c>
      <c r="U15" s="3">
        <v>0.999</v>
      </c>
      <c r="V15" s="3">
        <v>0.9971</v>
      </c>
      <c r="W15" s="3">
        <v>1</v>
      </c>
      <c r="X15" s="3">
        <v>0.9039</v>
      </c>
      <c r="Y15" s="22">
        <f>HYPERLINK("https://www.ncbi.nlm.nih.gov/clinvar/variation/132779", "132779") </f>
      </c>
      <c r="Z15" s="20" t="inlineStr">
        <is>
          <t xml:space="preserve">Benign</t>
        </is>
      </c>
      <c r="AA15" s="22">
        <f>HYPERLINK("https://grch37-cancer.sanger.ac.uk/cosmic/search?q=COSM9180822", "COSM9180822") </f>
      </c>
      <c r="AB15" s="6" t="inlineStr">
        <is>
          <t xml:space="preserve">30176882,31470906</t>
        </is>
      </c>
      <c r="AC15" s="31" t="inlineStr">
        <is>
          <t xml:space="preserve">*W0311_BRCA2_E11;W0312_BRCA2_E11</t>
        </is>
      </c>
      <c r="AD15" s="2">
        <v>1505</v>
      </c>
      <c r="AE15" s="2">
        <v>2846</v>
      </c>
    </row>
    <row r="16">
      <c r="A16" s="6" t="inlineStr">
        <is>
          <t xml:space="preserve">HRD-177-26S052587</t>
        </is>
      </c>
      <c r="B16" s="7" t="inlineStr">
        <is>
          <t xml:space="preserve">HRD-177-26S052587</t>
        </is>
      </c>
      <c r="C16" s="7" t="inlineStr">
        <is>
          <t xml:space="preserve">AHL3NVDRX7_1</t>
        </is>
      </c>
      <c r="D16" s="21" t="inlineStr">
        <is>
          <t xml:space="preserve">chr13</t>
        </is>
      </c>
      <c r="E16" s="2">
        <v>32914817</v>
      </c>
      <c r="F16" s="2">
        <v>32914817</v>
      </c>
      <c r="G16" s="21" t="inlineStr">
        <is>
          <t xml:space="preserve">G</t>
        </is>
      </c>
      <c r="H16" s="21" t="inlineStr">
        <is>
          <t xml:space="preserve">A</t>
        </is>
      </c>
      <c r="I16" s="23" t="inlineStr">
        <is>
          <t xml:space="preserve">ACTTCCTCGT-G-TTGATAAGAG</t>
        </is>
      </c>
      <c r="J16" s="24" t="inlineStr">
        <is>
          <t xml:space="preserve">PASS;Polymorphism;WBC</t>
        </is>
      </c>
      <c r="K16" s="2">
        <v>2109</v>
      </c>
      <c r="L16" s="3">
        <v>0.3822</v>
      </c>
      <c r="M16" s="2">
        <v>806</v>
      </c>
      <c r="N16" s="21" t="inlineStr">
        <is>
          <t xml:space="preserve">BRCA2</t>
        </is>
      </c>
      <c r="O16" s="24" t="inlineStr">
        <is>
          <t xml:space="preserve">nonSynonymous_Substitution</t>
        </is>
      </c>
      <c r="P16" s="26" t="inlineStr">
        <is>
          <t xml:space="preserve">NM_000059.4:exon11:c.6325G&gt;A:p.(V2109I):p.(Val2109Ile)</t>
        </is>
      </c>
      <c r="Q16" s="2">
        <v>1</v>
      </c>
      <c r="R16" s="22">
        <f>HYPERLINK("https://grch37.ensembl.org/Homo_sapiens/Variation/Citations?v=rs79456940", "rs79456940") </f>
      </c>
      <c r="S16" s="3">
        <v>0.000399361</v>
      </c>
      <c r="T16" s="3">
        <v>0.002</v>
      </c>
      <c r="U16" s="29" t="inlineStr">
        <is>
          <t xml:space="preserve">-</t>
        </is>
      </c>
      <c r="V16" s="29" t="inlineStr">
        <is>
          <t xml:space="preserve">-</t>
        </is>
      </c>
      <c r="W16" s="29" t="inlineStr">
        <is>
          <t xml:space="preserve">-</t>
        </is>
      </c>
      <c r="X16" s="29" t="inlineStr">
        <is>
          <t xml:space="preserve">-</t>
        </is>
      </c>
      <c r="Y16" s="22">
        <f>HYPERLINK("https://www.ncbi.nlm.nih.gov/clinvar/variation/41560", "41560") </f>
      </c>
      <c r="Z16" s="20" t="inlineStr">
        <is>
          <t xml:space="preserve">Conflicting_classifications_of_pathogenicity</t>
        </is>
      </c>
      <c r="AA16" s="22">
        <f>HYPERLINK("https://grch37-cancer.sanger.ac.uk/cosmic/search?q=COSM2071466", "COSM2071466") </f>
      </c>
      <c r="AB16" s="6" t="inlineStr">
        <is>
          <t xml:space="preserve">33947352,28222693,27701467,27257965,27124784,19491284,15117986,15168169,14973102,30415210,29215753,30725392,31131967</t>
        </is>
      </c>
      <c r="AC16" s="31" t="inlineStr">
        <is>
          <t xml:space="preserve">W0329_BRCA2_E11</t>
        </is>
      </c>
      <c r="AD16" s="2">
        <v>0</v>
      </c>
      <c r="AE16" s="2">
        <v>806</v>
      </c>
    </row>
    <row r="17">
      <c r="A17" s="6" t="inlineStr">
        <is>
          <t xml:space="preserve">HRD-177-26S052587</t>
        </is>
      </c>
      <c r="B17" s="7" t="inlineStr">
        <is>
          <t xml:space="preserve">HRD-177-26S052587</t>
        </is>
      </c>
      <c r="C17" s="7" t="inlineStr">
        <is>
          <t xml:space="preserve">AHL3NVDRX7_1</t>
        </is>
      </c>
      <c r="D17" s="21" t="inlineStr">
        <is>
          <t xml:space="preserve">chr13</t>
        </is>
      </c>
      <c r="E17" s="2">
        <v>32915005</v>
      </c>
      <c r="F17" s="2">
        <v>32915005</v>
      </c>
      <c r="G17" s="21" t="inlineStr">
        <is>
          <t xml:space="preserve">G</t>
        </is>
      </c>
      <c r="H17" s="21" t="inlineStr">
        <is>
          <t xml:space="preserve">C</t>
        </is>
      </c>
      <c r="I17" s="23" t="inlineStr">
        <is>
          <t xml:space="preserve">GAACCAAAGT-G-TCACTTGTTG</t>
        </is>
      </c>
      <c r="J17" s="24" t="inlineStr">
        <is>
          <t xml:space="preserve">PASS;Polymorphism;WBC</t>
        </is>
      </c>
      <c r="K17" s="2">
        <v>2477</v>
      </c>
      <c r="L17" s="3">
        <v>0.9988</v>
      </c>
      <c r="M17" s="2">
        <v>2474</v>
      </c>
      <c r="N17" s="21" t="inlineStr">
        <is>
          <t xml:space="preserve">BRCA2</t>
        </is>
      </c>
      <c r="O17" s="24" t="inlineStr">
        <is>
          <t xml:space="preserve">Synonymous_Substitution</t>
        </is>
      </c>
      <c r="P17" s="26" t="inlineStr">
        <is>
          <t xml:space="preserve">NM_000059.4:exon11:c.6513G&gt;C:p.(V2171=):p.(Val2171=)</t>
        </is>
      </c>
      <c r="Q17" s="2">
        <v>1</v>
      </c>
      <c r="R17" s="22">
        <f>HYPERLINK("https://grch37.ensembl.org/Homo_sapiens/Variation/Citations?v=rs206076", "rs206076") </f>
      </c>
      <c r="S17" s="3">
        <v>0.973642</v>
      </c>
      <c r="T17" s="3">
        <v>1</v>
      </c>
      <c r="U17" s="3">
        <v>0.999</v>
      </c>
      <c r="V17" s="3">
        <v>0.9971</v>
      </c>
      <c r="W17" s="3">
        <v>1</v>
      </c>
      <c r="X17" s="3">
        <v>0.9024</v>
      </c>
      <c r="Y17" s="22">
        <f>HYPERLINK("https://www.ncbi.nlm.nih.gov/clinvar/variation/132780", "132780") </f>
      </c>
      <c r="Z17" s="20" t="inlineStr">
        <is>
          <t xml:space="preserve">Benign</t>
        </is>
      </c>
      <c r="AA17" s="22">
        <f>HYPERLINK("https://grch37-cancer.sanger.ac.uk/cosmic/search?q=COSM4147690", "COSM4147690") </f>
      </c>
      <c r="AB17" s="6" t="inlineStr">
        <is>
          <t xml:space="preserve">30176882,31470906</t>
        </is>
      </c>
      <c r="AC17" s="31" t="inlineStr">
        <is>
          <t xml:space="preserve">W0331_BRCA2_E11</t>
        </is>
      </c>
      <c r="AD17" s="2">
        <v>0</v>
      </c>
      <c r="AE17" s="2">
        <v>2474</v>
      </c>
    </row>
    <row r="18">
      <c r="A18" s="6" t="inlineStr">
        <is>
          <t xml:space="preserve">HRD-177-26S052587</t>
        </is>
      </c>
      <c r="B18" s="7" t="inlineStr">
        <is>
          <t xml:space="preserve">HRD-177-26S052587</t>
        </is>
      </c>
      <c r="C18" s="7" t="inlineStr">
        <is>
          <t xml:space="preserve">AHL3NVDRX7_1</t>
        </is>
      </c>
      <c r="D18" s="21" t="inlineStr">
        <is>
          <t xml:space="preserve">chr13</t>
        </is>
      </c>
      <c r="E18" s="2">
        <v>32929232</v>
      </c>
      <c r="F18" s="2">
        <v>32929232</v>
      </c>
      <c r="G18" s="21" t="inlineStr">
        <is>
          <t xml:space="preserve">A</t>
        </is>
      </c>
      <c r="H18" s="21" t="inlineStr">
        <is>
          <t xml:space="preserve">G</t>
        </is>
      </c>
      <c r="I18" s="23" t="inlineStr">
        <is>
          <t xml:space="preserve">AAACTAAATC-A-CATTTTCACA</t>
        </is>
      </c>
      <c r="J18" s="24" t="inlineStr">
        <is>
          <t xml:space="preserve">PASS;Polymorphism;WBC</t>
        </is>
      </c>
      <c r="K18" s="2">
        <v>2727</v>
      </c>
      <c r="L18" s="3">
        <v>0.6234</v>
      </c>
      <c r="M18" s="2">
        <v>1700</v>
      </c>
      <c r="N18" s="21" t="inlineStr">
        <is>
          <t xml:space="preserve">BRCA2</t>
        </is>
      </c>
      <c r="O18" s="24" t="inlineStr">
        <is>
          <t xml:space="preserve">Synonymous_Substitution</t>
        </is>
      </c>
      <c r="P18" s="26" t="inlineStr">
        <is>
          <t xml:space="preserve">NM_000059.4:exon14:c.7242A&gt;G:p.(S2414=):p.(Ser2414=)</t>
        </is>
      </c>
      <c r="Q18" s="2">
        <v>1</v>
      </c>
      <c r="R18" s="22">
        <f>HYPERLINK("https://grch37.ensembl.org/Homo_sapiens/Variation/Citations?v=rs1799955", "rs1799955") </f>
      </c>
      <c r="S18" s="3">
        <v>0.232628</v>
      </c>
      <c r="T18" s="3">
        <v>0.369</v>
      </c>
      <c r="U18" s="3">
        <v>0.2087</v>
      </c>
      <c r="V18" s="3">
        <v>0.1988</v>
      </c>
      <c r="W18" s="3">
        <v>0.1748</v>
      </c>
      <c r="X18" s="3">
        <v>0.2073</v>
      </c>
      <c r="Y18" s="22">
        <f>HYPERLINK("https://www.ncbi.nlm.nih.gov/clinvar/variation/126133", "126133") </f>
      </c>
      <c r="Z18" s="20" t="inlineStr">
        <is>
          <t xml:space="preserve">Benign</t>
        </is>
      </c>
      <c r="AA18" s="22">
        <f>HYPERLINK("https://grch37-cancer.sanger.ac.uk/cosmic/search?q=COSM4415347", "COSM4415347") </f>
      </c>
      <c r="AB18" s="6" t="inlineStr">
        <is>
          <t xml:space="preserve">38039962,36991000,31470906,25589003</t>
        </is>
      </c>
      <c r="AC18" s="31" t="inlineStr">
        <is>
          <t xml:space="preserve">W0342_BRCA2_E14</t>
        </is>
      </c>
      <c r="AD18" s="2">
        <v>0</v>
      </c>
      <c r="AE18" s="2">
        <v>1700</v>
      </c>
    </row>
    <row r="19">
      <c r="A19" s="6" t="inlineStr">
        <is>
          <t xml:space="preserve">HRD-177-26S052587</t>
        </is>
      </c>
      <c r="B19" s="7" t="inlineStr">
        <is>
          <t xml:space="preserve">HRD-177-26S052587</t>
        </is>
      </c>
      <c r="C19" s="7" t="inlineStr">
        <is>
          <t xml:space="preserve">AHL3NVDRX7_1</t>
        </is>
      </c>
      <c r="D19" s="21" t="inlineStr">
        <is>
          <t xml:space="preserve">chr13</t>
        </is>
      </c>
      <c r="E19" s="2">
        <v>32929387</v>
      </c>
      <c r="F19" s="2">
        <v>32929387</v>
      </c>
      <c r="G19" s="21" t="inlineStr">
        <is>
          <t xml:space="preserve">T</t>
        </is>
      </c>
      <c r="H19" s="21" t="inlineStr">
        <is>
          <t xml:space="preserve">C</t>
        </is>
      </c>
      <c r="I19" s="23" t="inlineStr">
        <is>
          <t xml:space="preserve">AATCAAGCAG-T-AGCTGTAACT</t>
        </is>
      </c>
      <c r="J19" s="24" t="inlineStr">
        <is>
          <t xml:space="preserve">PASS;Polymorphism;WBC</t>
        </is>
      </c>
      <c r="K19" s="2">
        <v>6606</v>
      </c>
      <c r="L19" s="3">
        <v>0.9976</v>
      </c>
      <c r="M19" s="2">
        <v>6590</v>
      </c>
      <c r="N19" s="21" t="inlineStr">
        <is>
          <t xml:space="preserve">BRCA2</t>
        </is>
      </c>
      <c r="O19" s="24" t="inlineStr">
        <is>
          <t xml:space="preserve">nonSynonymous_Substitution</t>
        </is>
      </c>
      <c r="P19" s="26" t="inlineStr">
        <is>
          <t xml:space="preserve">NM_000059.4:exon14:c.7397T&gt;C:p.(V2466A):p.(Val2466Ala)</t>
        </is>
      </c>
      <c r="Q19" s="2">
        <v>1</v>
      </c>
      <c r="R19" s="22">
        <f>HYPERLINK("https://grch37.ensembl.org/Homo_sapiens/Variation/Citations?v=rs169547", "rs169547") </f>
      </c>
      <c r="S19" s="3">
        <v>0.975839</v>
      </c>
      <c r="T19" s="3">
        <v>1</v>
      </c>
      <c r="U19" s="3">
        <v>0.999</v>
      </c>
      <c r="V19" s="3">
        <v>0.9971</v>
      </c>
      <c r="W19" s="3">
        <v>1</v>
      </c>
      <c r="X19" s="3">
        <v>0.9107</v>
      </c>
      <c r="Y19" s="22">
        <f>HYPERLINK("https://www.ncbi.nlm.nih.gov/clinvar/variation/133738", "133738") </f>
      </c>
      <c r="Z19" s="20" t="inlineStr">
        <is>
          <t xml:space="preserve">Benign</t>
        </is>
      </c>
      <c r="AA19" s="22">
        <f>HYPERLINK("https://grch37-cancer.sanger.ac.uk/cosmic/search?q=COSM7335572", "COSM7335572") </f>
      </c>
      <c r="AB19" s="6" t="inlineStr">
        <is>
          <t xml:space="preserve">39895895,31636198,30176882</t>
        </is>
      </c>
      <c r="AC19" s="31" t="inlineStr">
        <is>
          <t xml:space="preserve">*W0343_BRCA2_E14;W0344_BRCA2_E14</t>
        </is>
      </c>
      <c r="AD19" s="2">
        <v>3066</v>
      </c>
      <c r="AE19" s="2">
        <v>3524</v>
      </c>
    </row>
    <row r="20">
      <c r="A20" s="6" t="inlineStr">
        <is>
          <t xml:space="preserve">HRD-177-26S052587</t>
        </is>
      </c>
      <c r="B20" s="7" t="inlineStr">
        <is>
          <t xml:space="preserve">HRD-177-26S052587</t>
        </is>
      </c>
      <c r="C20" s="7" t="inlineStr">
        <is>
          <t xml:space="preserve">AHL3NVDRX7_1</t>
        </is>
      </c>
      <c r="D20" s="21" t="inlineStr">
        <is>
          <t xml:space="preserve">chr13</t>
        </is>
      </c>
      <c r="E20" s="2">
        <v>32936646</v>
      </c>
      <c r="F20" s="2">
        <v>32936646</v>
      </c>
      <c r="G20" s="21" t="inlineStr">
        <is>
          <t xml:space="preserve">T</t>
        </is>
      </c>
      <c r="H20" s="21" t="inlineStr">
        <is>
          <t xml:space="preserve">C</t>
        </is>
      </c>
      <c r="I20" s="23" t="inlineStr">
        <is>
          <t xml:space="preserve">AATATTCTAC-T-TTTATTTGTT</t>
        </is>
      </c>
      <c r="J20" s="24" t="inlineStr">
        <is>
          <t xml:space="preserve">PASS;Polymorphism;WBC</t>
        </is>
      </c>
      <c r="K20" s="2">
        <v>1765</v>
      </c>
      <c r="L20" s="3">
        <v>0.5972</v>
      </c>
      <c r="M20" s="2">
        <v>1054</v>
      </c>
      <c r="N20" s="21" t="inlineStr">
        <is>
          <t xml:space="preserve">BRCA2</t>
        </is>
      </c>
      <c r="O20" s="24" t="inlineStr">
        <is>
          <t xml:space="preserve">Intronic</t>
        </is>
      </c>
      <c r="P20" s="26" t="inlineStr">
        <is>
          <t xml:space="preserve">NM_000059.4:intron16:c.7806-14T&gt;C:p.?:p.?</t>
        </is>
      </c>
      <c r="Q20" s="2">
        <v>1</v>
      </c>
      <c r="R20" s="22">
        <f>HYPERLINK("https://grch37.ensembl.org/Homo_sapiens/Variation/Citations?v=rs9534262", "rs9534262") </f>
      </c>
      <c r="S20" s="3">
        <v>0.53155</v>
      </c>
      <c r="T20" s="3">
        <v>0.5337</v>
      </c>
      <c r="U20" s="3">
        <v>0.5179</v>
      </c>
      <c r="V20" s="3">
        <v>0.5389</v>
      </c>
      <c r="W20" s="3">
        <v>0.4673</v>
      </c>
      <c r="X20" s="3">
        <v>0.584</v>
      </c>
      <c r="Y20" s="22">
        <f>HYPERLINK("https://www.ncbi.nlm.nih.gov/clinvar/variation/126158", "126158") </f>
      </c>
      <c r="Z20" s="20" t="inlineStr">
        <is>
          <t xml:space="preserve">Benign</t>
        </is>
      </c>
      <c r="AA20" s="22">
        <f>HYPERLINK("https://grch37-cancer.sanger.ac.uk/cosmic/search?q=COSN31765288", "COSN31765288") </f>
      </c>
      <c r="AB20" s="6" t="inlineStr">
        <is>
          <t xml:space="preserve">36991000,25589003,31470906</t>
        </is>
      </c>
      <c r="AC20" s="31" t="inlineStr">
        <is>
          <t xml:space="preserve">W0351_BRCA2_E17</t>
        </is>
      </c>
      <c r="AD20" s="2">
        <v>1054</v>
      </c>
      <c r="AE20" s="2">
        <v>0</v>
      </c>
    </row>
    <row r="21">
      <c r="A21" s="6" t="inlineStr">
        <is>
          <t xml:space="preserve">HRD-177-26S052587</t>
        </is>
      </c>
      <c r="B21" s="7" t="inlineStr">
        <is>
          <t xml:space="preserve">HRD-177-26S052587</t>
        </is>
      </c>
      <c r="C21" s="7" t="inlineStr">
        <is>
          <t xml:space="preserve">AHL3NVDRX7_1</t>
        </is>
      </c>
      <c r="D21" s="21" t="inlineStr">
        <is>
          <t xml:space="preserve">chr16</t>
        </is>
      </c>
      <c r="E21" s="2">
        <v>68771372</v>
      </c>
      <c r="F21" s="2">
        <v>68771372</v>
      </c>
      <c r="G21" s="21" t="inlineStr">
        <is>
          <t xml:space="preserve">C</t>
        </is>
      </c>
      <c r="H21" s="21" t="inlineStr">
        <is>
          <t xml:space="preserve">T</t>
        </is>
      </c>
      <c r="I21" s="23" t="inlineStr">
        <is>
          <t xml:space="preserve">TGCAGGTACC-C-CGGATCCCCT</t>
        </is>
      </c>
      <c r="J21" s="24" t="inlineStr">
        <is>
          <t xml:space="preserve">PASS;Polymorphism;WBC</t>
        </is>
      </c>
      <c r="K21" s="2">
        <v>1367</v>
      </c>
      <c r="L21" s="3">
        <v>0.9963</v>
      </c>
      <c r="M21" s="2">
        <v>1362</v>
      </c>
      <c r="N21" s="21" t="inlineStr">
        <is>
          <t xml:space="preserve">CDH1</t>
        </is>
      </c>
      <c r="O21" s="24" t="inlineStr">
        <is>
          <t xml:space="preserve">Intronic</t>
        </is>
      </c>
      <c r="P21" s="26" t="inlineStr">
        <is>
          <t xml:space="preserve">NM_004360.5:intron1:c.48+6C&gt;T:p.?:p.?</t>
        </is>
      </c>
      <c r="Q21" s="2">
        <v>1</v>
      </c>
      <c r="R21" s="22">
        <f>HYPERLINK("https://grch37.ensembl.org/Homo_sapiens/Variation/Citations?v=rs3743674", "rs3743674") </f>
      </c>
      <c r="S21" s="3">
        <v>0.763379</v>
      </c>
      <c r="T21" s="3">
        <v>0.7688</v>
      </c>
      <c r="U21" s="3">
        <v>0.8807</v>
      </c>
      <c r="V21" s="3">
        <v>0.7767</v>
      </c>
      <c r="W21" s="3">
        <v>0.7945</v>
      </c>
      <c r="X21" s="3">
        <v>0.6399</v>
      </c>
      <c r="Y21" s="22">
        <f>HYPERLINK("https://www.ncbi.nlm.nih.gov/clinvar/variation/136692", "136692") </f>
      </c>
      <c r="Z21" s="20" t="inlineStr">
        <is>
          <t xml:space="preserve">Benign</t>
        </is>
      </c>
      <c r="AA21" s="22">
        <f>HYPERLINK("https://grch37-cancer.sanger.ac.uk/cosmic/search?q=COSM5461723", "COSM5461723") </f>
      </c>
      <c r="AB21" s="6" t="inlineStr">
        <is>
          <t xml:space="preserve">39895895,31470906</t>
        </is>
      </c>
      <c r="AC21" s="31" t="inlineStr">
        <is>
          <t xml:space="preserve">W0436_CDH1_E01</t>
        </is>
      </c>
      <c r="AD21" s="2">
        <v>1362</v>
      </c>
      <c r="AE21" s="2">
        <v>0</v>
      </c>
    </row>
    <row r="22">
      <c r="A22" s="6" t="inlineStr">
        <is>
          <t xml:space="preserve">HRD-177-26S052587</t>
        </is>
      </c>
      <c r="B22" s="7" t="inlineStr">
        <is>
          <t xml:space="preserve">HRD-177-26S052587</t>
        </is>
      </c>
      <c r="C22" s="7" t="inlineStr">
        <is>
          <t xml:space="preserve">AHL3NVDRX7_1</t>
        </is>
      </c>
      <c r="D22" s="21" t="inlineStr">
        <is>
          <t xml:space="preserve">chr16</t>
        </is>
      </c>
      <c r="E22" s="2">
        <v>68857441</v>
      </c>
      <c r="F22" s="2">
        <v>68857441</v>
      </c>
      <c r="G22" s="21" t="inlineStr">
        <is>
          <t xml:space="preserve">T</t>
        </is>
      </c>
      <c r="H22" s="21" t="inlineStr">
        <is>
          <t xml:space="preserve">C</t>
        </is>
      </c>
      <c r="I22" s="23" t="inlineStr">
        <is>
          <t xml:space="preserve">AAGGGGCCGC-T-GGCGTCTGTA</t>
        </is>
      </c>
      <c r="J22" s="24" t="inlineStr">
        <is>
          <t xml:space="preserve">PASS;Polymorphism;WBC</t>
        </is>
      </c>
      <c r="K22" s="2">
        <v>920</v>
      </c>
      <c r="L22" s="3">
        <v>0.9946</v>
      </c>
      <c r="M22" s="2">
        <v>915</v>
      </c>
      <c r="N22" s="21" t="inlineStr">
        <is>
          <t xml:space="preserve">CDH1</t>
        </is>
      </c>
      <c r="O22" s="24" t="inlineStr">
        <is>
          <t xml:space="preserve">Synonymous_Substitution</t>
        </is>
      </c>
      <c r="P22" s="26" t="inlineStr">
        <is>
          <t xml:space="preserve">NM_004360.5:exon13:c.2076T&gt;C:p.(A692=):p.(Ala692=)</t>
        </is>
      </c>
      <c r="Q22" s="2">
        <v>1</v>
      </c>
      <c r="R22" s="22">
        <f>HYPERLINK("https://grch37.ensembl.org/Homo_sapiens/Variation/Citations?v=rs1801552", "rs1801552") </f>
      </c>
      <c r="S22" s="3">
        <v>0.71865</v>
      </c>
      <c r="T22" s="3">
        <v>0.6448</v>
      </c>
      <c r="U22" s="3">
        <v>0.6451</v>
      </c>
      <c r="V22" s="3">
        <v>0.585</v>
      </c>
      <c r="W22" s="3">
        <v>0.6687</v>
      </c>
      <c r="X22" s="3">
        <v>0.938</v>
      </c>
      <c r="Y22" s="22">
        <f>HYPERLINK("https://www.ncbi.nlm.nih.gov/clinvar/variation/142770", "142770") </f>
      </c>
      <c r="Z22" s="20" t="inlineStr">
        <is>
          <t xml:space="preserve">Benign</t>
        </is>
      </c>
      <c r="AA22" s="22">
        <f>HYPERLINK("https://grch37-cancer.sanger.ac.uk/cosmic/search?q=COSM3755010", "COSM3755010") </f>
      </c>
      <c r="AB22" s="6" t="inlineStr">
        <is>
          <t xml:space="preserve">30176882,31470906</t>
        </is>
      </c>
      <c r="AC22" s="31" t="inlineStr">
        <is>
          <t xml:space="preserve">W0461_CDH1_E13</t>
        </is>
      </c>
      <c r="AD22" s="2">
        <v>0</v>
      </c>
      <c r="AE22" s="2">
        <v>915</v>
      </c>
    </row>
    <row r="23">
      <c r="A23" s="6" t="inlineStr">
        <is>
          <t xml:space="preserve">HRD-177-26S052587</t>
        </is>
      </c>
      <c r="B23" s="7" t="inlineStr">
        <is>
          <t xml:space="preserve">HRD-177-26S052587</t>
        </is>
      </c>
      <c r="C23" s="7" t="inlineStr">
        <is>
          <t xml:space="preserve">AHL3NVDRX7_1</t>
        </is>
      </c>
      <c r="D23" s="21" t="inlineStr">
        <is>
          <t xml:space="preserve">chr16</t>
        </is>
      </c>
      <c r="E23" s="2">
        <v>89805977</v>
      </c>
      <c r="F23" s="2">
        <v>89805977</v>
      </c>
      <c r="G23" s="21" t="inlineStr">
        <is>
          <t xml:space="preserve">G</t>
        </is>
      </c>
      <c r="H23" s="21" t="inlineStr">
        <is>
          <t xml:space="preserve">A</t>
        </is>
      </c>
      <c r="I23" s="23" t="inlineStr">
        <is>
          <t xml:space="preserve">ACACCAAGAA-G-TGGCTCAGGC</t>
        </is>
      </c>
      <c r="J23" s="24" t="inlineStr">
        <is>
          <t xml:space="preserve">PASS;Polymorphism;WBC</t>
        </is>
      </c>
      <c r="K23" s="2">
        <v>946</v>
      </c>
      <c r="L23" s="3">
        <v>1</v>
      </c>
      <c r="M23" s="2">
        <v>946</v>
      </c>
      <c r="N23" s="21" t="inlineStr">
        <is>
          <t xml:space="preserve">FANCA</t>
        </is>
      </c>
      <c r="O23" s="24" t="inlineStr">
        <is>
          <t xml:space="preserve">Intronic</t>
        </is>
      </c>
      <c r="P23" s="26" t="inlineStr">
        <is>
          <t xml:space="preserve">NM_000135.4:intron39:c.3935-16C&gt;T:p.?:p.?</t>
        </is>
      </c>
      <c r="Q23" s="2">
        <v>1</v>
      </c>
      <c r="R23" s="22">
        <f>HYPERLINK("https://grch37.ensembl.org/Homo_sapiens/Variation/Citations?v=rs1061646", "rs1061646") </f>
      </c>
      <c r="S23" s="3">
        <v>0.538139</v>
      </c>
      <c r="T23" s="3">
        <v>0.7073</v>
      </c>
      <c r="U23" s="3">
        <v>0.3151</v>
      </c>
      <c r="V23" s="3">
        <v>0.5677</v>
      </c>
      <c r="W23" s="3">
        <v>0.5123</v>
      </c>
      <c r="X23" s="3">
        <v>0.5825</v>
      </c>
      <c r="Y23" s="22">
        <f>HYPERLINK("https://www.ncbi.nlm.nih.gov/clinvar/variation/255264", "255264") </f>
      </c>
      <c r="Z23" s="20" t="inlineStr">
        <is>
          <t xml:space="preserve">Benign</t>
        </is>
      </c>
      <c r="AA23" s="22">
        <f>HYPERLINK("https://grch37-cancer.sanger.ac.uk/cosmic/search?q=COSN26729864", "COSN26729864") </f>
      </c>
      <c r="AB23" s="6" t="inlineStr">
        <is>
          <t xml:space="preserve">NA</t>
        </is>
      </c>
      <c r="AC23" s="31" t="inlineStr">
        <is>
          <t xml:space="preserve">*W0577_FANCA_E43-40</t>
        </is>
      </c>
      <c r="AD23" s="2">
        <v>946</v>
      </c>
      <c r="AE23" s="2">
        <v>0</v>
      </c>
    </row>
    <row r="24">
      <c r="A24" s="6" t="inlineStr">
        <is>
          <t xml:space="preserve">HRD-177-26S052587</t>
        </is>
      </c>
      <c r="B24" s="7" t="inlineStr">
        <is>
          <t xml:space="preserve">HRD-177-26S052587</t>
        </is>
      </c>
      <c r="C24" s="7" t="inlineStr">
        <is>
          <t xml:space="preserve">AHL3NVDRX7_1</t>
        </is>
      </c>
      <c r="D24" s="21" t="inlineStr">
        <is>
          <t xml:space="preserve">chr16</t>
        </is>
      </c>
      <c r="E24" s="2">
        <v>89836323</v>
      </c>
      <c r="F24" s="2">
        <v>89836323</v>
      </c>
      <c r="G24" s="21" t="inlineStr">
        <is>
          <t xml:space="preserve">C</t>
        </is>
      </c>
      <c r="H24" s="21" t="inlineStr">
        <is>
          <t xml:space="preserve">T</t>
        </is>
      </c>
      <c r="I24" s="23" t="inlineStr">
        <is>
          <t xml:space="preserve">AAGGCCAGCA-C-CAGGTGCAGG</t>
        </is>
      </c>
      <c r="J24" s="24" t="inlineStr">
        <is>
          <t xml:space="preserve">PASS;Polymorphism;WBC</t>
        </is>
      </c>
      <c r="K24" s="2">
        <v>1408</v>
      </c>
      <c r="L24" s="3">
        <v>0.9986</v>
      </c>
      <c r="M24" s="2">
        <v>1406</v>
      </c>
      <c r="N24" s="21" t="inlineStr">
        <is>
          <t xml:space="preserve">FANCA</t>
        </is>
      </c>
      <c r="O24" s="24" t="inlineStr">
        <is>
          <t xml:space="preserve">nonSynonymous_Substitution</t>
        </is>
      </c>
      <c r="P24" s="26" t="inlineStr">
        <is>
          <t xml:space="preserve">NM_000135.4:exon26:c.2426G&gt;A:p.(G809D):p.(Gly809Asp)</t>
        </is>
      </c>
      <c r="Q24" s="2">
        <v>1</v>
      </c>
      <c r="R24" s="22">
        <f>HYPERLINK("https://grch37.ensembl.org/Homo_sapiens/Variation/Citations?v=rs7195066", "rs7195066") </f>
      </c>
      <c r="S24" s="3">
        <v>0.666733</v>
      </c>
      <c r="T24" s="3">
        <v>0.9881</v>
      </c>
      <c r="U24" s="3">
        <v>0.3221</v>
      </c>
      <c r="V24" s="3">
        <v>0.5821</v>
      </c>
      <c r="W24" s="3">
        <v>0.6513</v>
      </c>
      <c r="X24" s="3">
        <v>0.7398</v>
      </c>
      <c r="Y24" s="22">
        <f>HYPERLINK("https://www.ncbi.nlm.nih.gov/clinvar/variation/134254", "134254") </f>
      </c>
      <c r="Z24" s="20" t="inlineStr">
        <is>
          <t xml:space="preserve">Benign/Likely_benign</t>
        </is>
      </c>
      <c r="AA24" s="22">
        <f>HYPERLINK("https://grch37-cancer.sanger.ac.uk/cosmic/search?q=COSM435949", "COSM435949") </f>
      </c>
      <c r="AB24" s="6" t="inlineStr">
        <is>
          <t xml:space="preserve">30176882,24793135,31636198,39895895</t>
        </is>
      </c>
      <c r="AC24" s="31" t="inlineStr">
        <is>
          <t xml:space="preserve">W0603_FANCA_E26-25</t>
        </is>
      </c>
      <c r="AD24" s="2">
        <v>1406</v>
      </c>
      <c r="AE24" s="2">
        <v>0</v>
      </c>
    </row>
    <row r="25">
      <c r="A25" s="6" t="inlineStr">
        <is>
          <t xml:space="preserve">HRD-177-26S052587</t>
        </is>
      </c>
      <c r="B25" s="7" t="inlineStr">
        <is>
          <t xml:space="preserve">HRD-177-26S052587</t>
        </is>
      </c>
      <c r="C25" s="7" t="inlineStr">
        <is>
          <t xml:space="preserve">AHL3NVDRX7_1</t>
        </is>
      </c>
      <c r="D25" s="21" t="inlineStr">
        <is>
          <t xml:space="preserve">chr16</t>
        </is>
      </c>
      <c r="E25" s="2">
        <v>89838078</v>
      </c>
      <c r="F25" s="2">
        <v>89838078</v>
      </c>
      <c r="G25" s="21" t="inlineStr">
        <is>
          <t xml:space="preserve">A</t>
        </is>
      </c>
      <c r="H25" s="21" t="inlineStr">
        <is>
          <t xml:space="preserve">G</t>
        </is>
      </c>
      <c r="I25" s="23" t="inlineStr">
        <is>
          <t xml:space="preserve">CTGAGCCCCT-A-CACCTACCAT</t>
        </is>
      </c>
      <c r="J25" s="24" t="inlineStr">
        <is>
          <t xml:space="preserve">PASS;Polymorphism;WBC</t>
        </is>
      </c>
      <c r="K25" s="2">
        <v>2414</v>
      </c>
      <c r="L25" s="3">
        <v>0.9979</v>
      </c>
      <c r="M25" s="2">
        <v>2409</v>
      </c>
      <c r="N25" s="21" t="inlineStr">
        <is>
          <t xml:space="preserve">FANCA</t>
        </is>
      </c>
      <c r="O25" s="24" t="inlineStr">
        <is>
          <t xml:space="preserve">Intronic</t>
        </is>
      </c>
      <c r="P25" s="26" t="inlineStr">
        <is>
          <t xml:space="preserve">NM_000135.4:intron23:c.2151+8T&gt;C:p.?:p.?</t>
        </is>
      </c>
      <c r="Q25" s="2">
        <v>1</v>
      </c>
      <c r="R25" s="22">
        <f>HYPERLINK("https://grch37.ensembl.org/Homo_sapiens/Variation/Citations?v=rs1800340", "rs1800340") </f>
      </c>
      <c r="S25" s="3">
        <v>0.559904</v>
      </c>
      <c r="T25" s="3">
        <v>0.7242</v>
      </c>
      <c r="U25" s="3">
        <v>0.327</v>
      </c>
      <c r="V25" s="3">
        <v>0.5677</v>
      </c>
      <c r="W25" s="3">
        <v>0.637</v>
      </c>
      <c r="X25" s="3">
        <v>0.5507</v>
      </c>
      <c r="Y25" s="22">
        <f>HYPERLINK("https://www.ncbi.nlm.nih.gov/clinvar/variation/255245", "255245") </f>
      </c>
      <c r="Z25" s="20" t="inlineStr">
        <is>
          <t xml:space="preserve">Benign</t>
        </is>
      </c>
      <c r="AA25" s="22">
        <f>HYPERLINK("https://grch37-cancer.sanger.ac.uk/cosmic/search?q=COSM6352346", "COSM6352346") </f>
      </c>
      <c r="AB25" s="6" t="inlineStr">
        <is>
          <t xml:space="preserve">NA</t>
        </is>
      </c>
      <c r="AC25" s="31" t="inlineStr">
        <is>
          <t xml:space="preserve">W0609_FANCA_E23</t>
        </is>
      </c>
      <c r="AD25" s="2">
        <v>0</v>
      </c>
      <c r="AE25" s="2">
        <v>2409</v>
      </c>
    </row>
    <row r="26">
      <c r="A26" s="6" t="inlineStr">
        <is>
          <t xml:space="preserve">HRD-177-26S052587</t>
        </is>
      </c>
      <c r="B26" s="7" t="inlineStr">
        <is>
          <t xml:space="preserve">HRD-177-26S052587</t>
        </is>
      </c>
      <c r="C26" s="7" t="inlineStr">
        <is>
          <t xml:space="preserve">AHL3NVDRX7_1</t>
        </is>
      </c>
      <c r="D26" s="21" t="inlineStr">
        <is>
          <t xml:space="preserve">chr16</t>
        </is>
      </c>
      <c r="E26" s="2">
        <v>89845194</v>
      </c>
      <c r="F26" s="2">
        <v>89845194</v>
      </c>
      <c r="G26" s="21" t="inlineStr">
        <is>
          <t xml:space="preserve">A</t>
        </is>
      </c>
      <c r="H26" s="21" t="inlineStr">
        <is>
          <t xml:space="preserve">G</t>
        </is>
      </c>
      <c r="I26" s="23" t="inlineStr">
        <is>
          <t xml:space="preserve">TCCCCTTCTA-A-CCGTTGCTGC</t>
        </is>
      </c>
      <c r="J26" s="24" t="inlineStr">
        <is>
          <t xml:space="preserve">PASS;Polymorphism;WBC</t>
        </is>
      </c>
      <c r="K26" s="2">
        <v>267</v>
      </c>
      <c r="L26" s="3">
        <v>0.9925</v>
      </c>
      <c r="M26" s="2">
        <v>265</v>
      </c>
      <c r="N26" s="21" t="inlineStr">
        <is>
          <t xml:space="preserve">FANCA</t>
        </is>
      </c>
      <c r="O26" s="24" t="inlineStr">
        <is>
          <t xml:space="preserve">Intronic</t>
        </is>
      </c>
      <c r="P26" s="26" t="inlineStr">
        <is>
          <t xml:space="preserve">NM_000135.4:intron20:c.1826+15T&gt;C:p.?:p.?</t>
        </is>
      </c>
      <c r="Q26" s="2">
        <v>1</v>
      </c>
      <c r="R26" s="22">
        <f>HYPERLINK("https://grch37.ensembl.org/Homo_sapiens/Variation/Citations?v=rs1800337", "rs1800337") </f>
      </c>
      <c r="S26" s="3">
        <v>0.682508</v>
      </c>
      <c r="T26" s="3">
        <v>0.9871</v>
      </c>
      <c r="U26" s="3">
        <v>0.3887</v>
      </c>
      <c r="V26" s="3">
        <v>0.5965</v>
      </c>
      <c r="W26" s="3">
        <v>0.6554</v>
      </c>
      <c r="X26" s="3">
        <v>0.739</v>
      </c>
      <c r="Y26" s="22">
        <f>HYPERLINK("https://www.ncbi.nlm.nih.gov/clinvar/variation/255241", "255241") </f>
      </c>
      <c r="Z26" s="20" t="inlineStr">
        <is>
          <t xml:space="preserve">Benign</t>
        </is>
      </c>
      <c r="AA26" s="6" t="inlineStr">
        <is>
          <t xml:space="preserve">NA</t>
        </is>
      </c>
      <c r="AB26" s="6" t="inlineStr">
        <is>
          <t xml:space="preserve">NA</t>
        </is>
      </c>
      <c r="AC26" s="31" t="inlineStr">
        <is>
          <t xml:space="preserve">W0615_FANCA_E20-19</t>
        </is>
      </c>
      <c r="AD26" s="2">
        <v>0</v>
      </c>
      <c r="AE26" s="2">
        <v>265</v>
      </c>
    </row>
    <row r="27">
      <c r="A27" s="6" t="inlineStr">
        <is>
          <t xml:space="preserve">HRD-177-26S052587</t>
        </is>
      </c>
      <c r="B27" s="7" t="inlineStr">
        <is>
          <t xml:space="preserve">HRD-177-26S052587</t>
        </is>
      </c>
      <c r="C27" s="7" t="inlineStr">
        <is>
          <t xml:space="preserve">AHL3NVDRX7_1</t>
        </is>
      </c>
      <c r="D27" s="21" t="inlineStr">
        <is>
          <t xml:space="preserve">chr16</t>
        </is>
      </c>
      <c r="E27" s="2">
        <v>89849480</v>
      </c>
      <c r="F27" s="2">
        <v>89849480</v>
      </c>
      <c r="G27" s="21" t="inlineStr">
        <is>
          <t xml:space="preserve">C</t>
        </is>
      </c>
      <c r="H27" s="21" t="inlineStr">
        <is>
          <t xml:space="preserve">T</t>
        </is>
      </c>
      <c r="I27" s="23" t="inlineStr">
        <is>
          <t xml:space="preserve">CGGTACTTGC-C-GGGAACCAGG</t>
        </is>
      </c>
      <c r="J27" s="24" t="inlineStr">
        <is>
          <t xml:space="preserve">PASS;Polymorphism;WBC</t>
        </is>
      </c>
      <c r="K27" s="2">
        <v>1061</v>
      </c>
      <c r="L27" s="3">
        <v>0.3949</v>
      </c>
      <c r="M27" s="2">
        <v>419</v>
      </c>
      <c r="N27" s="21" t="inlineStr">
        <is>
          <t xml:space="preserve">FANCA</t>
        </is>
      </c>
      <c r="O27" s="24" t="inlineStr">
        <is>
          <t xml:space="preserve">nonSynonymous_Substitution</t>
        </is>
      </c>
      <c r="P27" s="26" t="inlineStr">
        <is>
          <t xml:space="preserve">NM_000135.4:exon16:c.1501G&gt;A:p.(G501S):p.(Gly501Ser)</t>
        </is>
      </c>
      <c r="Q27" s="2">
        <v>1</v>
      </c>
      <c r="R27" s="22">
        <f>HYPERLINK("https://grch37.ensembl.org/Homo_sapiens/Variation/Citations?v=rs2239359", "rs2239359") </f>
      </c>
      <c r="S27" s="3">
        <v>0.624002</v>
      </c>
      <c r="T27" s="3">
        <v>0.8671</v>
      </c>
      <c r="U27" s="3">
        <v>0.4066</v>
      </c>
      <c r="V27" s="3">
        <v>0.5821</v>
      </c>
      <c r="W27" s="3">
        <v>0.5245</v>
      </c>
      <c r="X27" s="3">
        <v>0.6997</v>
      </c>
      <c r="Y27" s="22">
        <f>HYPERLINK("https://www.ncbi.nlm.nih.gov/clinvar/variation/134244", "134244") </f>
      </c>
      <c r="Z27" s="20" t="inlineStr">
        <is>
          <t xml:space="preserve">Benign</t>
        </is>
      </c>
      <c r="AA27" s="22">
        <f>HYPERLINK("https://grch37-cancer.sanger.ac.uk/cosmic/search?q=COSM4984954", "COSM4984954") </f>
      </c>
      <c r="AB27" s="6" t="inlineStr">
        <is>
          <t xml:space="preserve">24793135,31636198,30176882,39895895</t>
        </is>
      </c>
      <c r="AC27" s="31" t="inlineStr">
        <is>
          <t xml:space="preserve">W0620_FANCA_E17-16</t>
        </is>
      </c>
      <c r="AD27" s="2">
        <v>419</v>
      </c>
      <c r="AE27" s="2">
        <v>0</v>
      </c>
    </row>
    <row r="28">
      <c r="A28" s="6" t="inlineStr">
        <is>
          <t xml:space="preserve">HRD-177-26S052587</t>
        </is>
      </c>
      <c r="B28" s="7" t="inlineStr">
        <is>
          <t xml:space="preserve">HRD-177-26S052587</t>
        </is>
      </c>
      <c r="C28" s="7" t="inlineStr">
        <is>
          <t xml:space="preserve">AHL3NVDRX7_1</t>
        </is>
      </c>
      <c r="D28" s="21" t="inlineStr">
        <is>
          <t xml:space="preserve">chr16</t>
        </is>
      </c>
      <c r="E28" s="2">
        <v>89857964</v>
      </c>
      <c r="F28" s="2">
        <v>89857964</v>
      </c>
      <c r="G28" s="21" t="inlineStr">
        <is>
          <t xml:space="preserve">T</t>
        </is>
      </c>
      <c r="H28" s="21" t="inlineStr">
        <is>
          <t xml:space="preserve">C</t>
        </is>
      </c>
      <c r="I28" s="23" t="inlineStr">
        <is>
          <t xml:space="preserve">AACCATGACA-T-AGTCACAGCA</t>
        </is>
      </c>
      <c r="J28" s="24" t="inlineStr">
        <is>
          <t xml:space="preserve">PASS;Polymorphism;WBC</t>
        </is>
      </c>
      <c r="K28" s="2">
        <v>1230</v>
      </c>
      <c r="L28" s="3">
        <v>0.9976</v>
      </c>
      <c r="M28" s="2">
        <v>1227</v>
      </c>
      <c r="N28" s="21" t="inlineStr">
        <is>
          <t xml:space="preserve">FANCA</t>
        </is>
      </c>
      <c r="O28" s="24" t="inlineStr">
        <is>
          <t xml:space="preserve">Intronic</t>
        </is>
      </c>
      <c r="P28" s="26" t="inlineStr">
        <is>
          <t xml:space="preserve">NM_000135.4:intron13:c.1226-20A&gt;G:p.?:p.?</t>
        </is>
      </c>
      <c r="Q28" s="2">
        <v>1</v>
      </c>
      <c r="R28" s="22">
        <f>HYPERLINK("https://grch37.ensembl.org/Homo_sapiens/Variation/Citations?v=rs1800330", "rs1800330") </f>
      </c>
      <c r="S28" s="3">
        <v>0.571885</v>
      </c>
      <c r="T28" s="3">
        <v>0.7341</v>
      </c>
      <c r="U28" s="3">
        <v>0.327</v>
      </c>
      <c r="V28" s="3">
        <v>0.5648</v>
      </c>
      <c r="W28" s="3">
        <v>0.6299</v>
      </c>
      <c r="X28" s="3">
        <v>0.5953</v>
      </c>
      <c r="Y28" s="22">
        <f>HYPERLINK("https://www.ncbi.nlm.nih.gov/clinvar/variation/255232", "255232") </f>
      </c>
      <c r="Z28" s="20" t="inlineStr">
        <is>
          <t xml:space="preserve">Benign</t>
        </is>
      </c>
      <c r="AA28" s="22">
        <f>HYPERLINK("https://grch37-cancer.sanger.ac.uk/cosmic/search?q=COSN15653785", "COSN15653785") </f>
      </c>
      <c r="AB28" s="22">
        <f>HYPERLINK("https://www.ncbi.nlm.nih.gov/pubmed/25056374", "25056374") </f>
      </c>
      <c r="AC28" s="31" t="inlineStr">
        <is>
          <t xml:space="preserve">*W0624_FANCA_E14</t>
        </is>
      </c>
      <c r="AD28" s="2">
        <v>0</v>
      </c>
      <c r="AE28" s="2">
        <v>1227</v>
      </c>
    </row>
    <row r="29">
      <c r="A29" s="6" t="inlineStr">
        <is>
          <t xml:space="preserve">HRD-177-26S052587</t>
        </is>
      </c>
      <c r="B29" s="7" t="inlineStr">
        <is>
          <t xml:space="preserve">HRD-177-26S052587</t>
        </is>
      </c>
      <c r="C29" s="7" t="inlineStr">
        <is>
          <t xml:space="preserve">AHL3NVDRX7_1</t>
        </is>
      </c>
      <c r="D29" s="21" t="inlineStr">
        <is>
          <t xml:space="preserve">chr16</t>
        </is>
      </c>
      <c r="E29" s="2">
        <v>89866043</v>
      </c>
      <c r="F29" s="2">
        <v>89866043</v>
      </c>
      <c r="G29" s="21" t="inlineStr">
        <is>
          <t xml:space="preserve">T</t>
        </is>
      </c>
      <c r="H29" s="21" t="inlineStr">
        <is>
          <t xml:space="preserve">C</t>
        </is>
      </c>
      <c r="I29" s="23" t="inlineStr">
        <is>
          <t xml:space="preserve">ACATCAACCG-T-GACCTGTCAA</t>
        </is>
      </c>
      <c r="J29" s="24" t="inlineStr">
        <is>
          <t xml:space="preserve">PASS;Polymorphism;WBC</t>
        </is>
      </c>
      <c r="K29" s="2">
        <v>4684</v>
      </c>
      <c r="L29" s="3">
        <v>0.9968</v>
      </c>
      <c r="M29" s="2">
        <v>4669</v>
      </c>
      <c r="N29" s="21" t="inlineStr">
        <is>
          <t xml:space="preserve">FANCA</t>
        </is>
      </c>
      <c r="O29" s="24" t="inlineStr">
        <is>
          <t xml:space="preserve">nonSynonymous_Substitution</t>
        </is>
      </c>
      <c r="P29" s="26" t="inlineStr">
        <is>
          <t xml:space="preserve">NM_000135.4:exon9:c.796A&gt;G:p.(T266A):p.(Thr266Ala)</t>
        </is>
      </c>
      <c r="Q29" s="2">
        <v>1</v>
      </c>
      <c r="R29" s="22">
        <f>HYPERLINK("https://grch37.ensembl.org/Homo_sapiens/Variation/Citations?v=rs7190823", "rs7190823") </f>
      </c>
      <c r="S29" s="3">
        <v>0.690495</v>
      </c>
      <c r="T29" s="3">
        <v>0.9871</v>
      </c>
      <c r="U29" s="3">
        <v>0.3956</v>
      </c>
      <c r="V29" s="3">
        <v>0.6037</v>
      </c>
      <c r="W29" s="3">
        <v>0.6524</v>
      </c>
      <c r="X29" s="3">
        <v>0.7625</v>
      </c>
      <c r="Y29" s="22">
        <f>HYPERLINK("https://www.ncbi.nlm.nih.gov/clinvar/variation/134294", "134294") </f>
      </c>
      <c r="Z29" s="20" t="inlineStr">
        <is>
          <t xml:space="preserve">Benign</t>
        </is>
      </c>
      <c r="AA29" s="22">
        <f>HYPERLINK("https://grch37-cancer.sanger.ac.uk/cosmic/search?q=COSM10469364", "COSM10469364") </f>
      </c>
      <c r="AB29" s="6" t="inlineStr">
        <is>
          <t xml:space="preserve">31636198,30176882,25765070,39895895</t>
        </is>
      </c>
      <c r="AC29" s="31" t="inlineStr">
        <is>
          <t xml:space="preserve">*W0633_FANCA_E09;W0634_FANCA_E09</t>
        </is>
      </c>
      <c r="AD29" s="2">
        <v>2103</v>
      </c>
      <c r="AE29" s="2">
        <v>2566</v>
      </c>
    </row>
    <row r="30">
      <c r="A30" s="6" t="inlineStr">
        <is>
          <t xml:space="preserve">HRD-177-26S052587</t>
        </is>
      </c>
      <c r="B30" s="7" t="inlineStr">
        <is>
          <t xml:space="preserve">HRD-177-26S052587</t>
        </is>
      </c>
      <c r="C30" s="7" t="inlineStr">
        <is>
          <t xml:space="preserve">AHL3NVDRX7_1</t>
        </is>
      </c>
      <c r="D30" s="21" t="inlineStr">
        <is>
          <t xml:space="preserve">chr16</t>
        </is>
      </c>
      <c r="E30" s="2">
        <v>89869761</v>
      </c>
      <c r="F30" s="2">
        <v>89869761</v>
      </c>
      <c r="G30" s="21" t="inlineStr">
        <is>
          <t xml:space="preserve">T</t>
        </is>
      </c>
      <c r="H30" s="21" t="inlineStr">
        <is>
          <t xml:space="preserve">C</t>
        </is>
      </c>
      <c r="I30" s="23" t="inlineStr">
        <is>
          <t xml:space="preserve">TGAAAAACCA-T-AAAACCAAAG</t>
        </is>
      </c>
      <c r="J30" s="24" t="inlineStr">
        <is>
          <t xml:space="preserve">PASS;Polymorphism;WBC</t>
        </is>
      </c>
      <c r="K30" s="2">
        <v>1946</v>
      </c>
      <c r="L30" s="3">
        <v>0.9974</v>
      </c>
      <c r="M30" s="2">
        <v>1941</v>
      </c>
      <c r="N30" s="21" t="inlineStr">
        <is>
          <t xml:space="preserve">FANCA</t>
        </is>
      </c>
      <c r="O30" s="24" t="inlineStr">
        <is>
          <t xml:space="preserve">Intronic</t>
        </is>
      </c>
      <c r="P30" s="26" t="inlineStr">
        <is>
          <t xml:space="preserve">NM_000135.4:intron7:c.710-12A&gt;G:p.?:p.?</t>
        </is>
      </c>
      <c r="Q30" s="2">
        <v>1</v>
      </c>
      <c r="R30" s="22">
        <f>HYPERLINK("https://grch37.ensembl.org/Homo_sapiens/Variation/Citations?v=rs1800286", "rs1800286") </f>
      </c>
      <c r="S30" s="3">
        <v>0.842851</v>
      </c>
      <c r="T30" s="3">
        <v>0.9911</v>
      </c>
      <c r="U30" s="3">
        <v>0.6064</v>
      </c>
      <c r="V30" s="3">
        <v>0.7378</v>
      </c>
      <c r="W30" s="3">
        <v>0.8487</v>
      </c>
      <c r="X30" s="3">
        <v>0.9607</v>
      </c>
      <c r="Y30" s="22">
        <f>HYPERLINK("https://www.ncbi.nlm.nih.gov/clinvar/variation/255269", "255269") </f>
      </c>
      <c r="Z30" s="20" t="inlineStr">
        <is>
          <t xml:space="preserve">Benign</t>
        </is>
      </c>
      <c r="AA30" s="6" t="inlineStr">
        <is>
          <t xml:space="preserve">NA</t>
        </is>
      </c>
      <c r="AB30" s="6" t="inlineStr">
        <is>
          <t xml:space="preserve">NA</t>
        </is>
      </c>
      <c r="AC30" s="31" t="inlineStr">
        <is>
          <t xml:space="preserve">W0636_FANCA_E08</t>
        </is>
      </c>
      <c r="AD30" s="2">
        <v>1941</v>
      </c>
      <c r="AE30" s="2">
        <v>0</v>
      </c>
    </row>
    <row r="31">
      <c r="A31" s="6" t="inlineStr">
        <is>
          <t xml:space="preserve">HRD-177-26S052587</t>
        </is>
      </c>
      <c r="B31" s="7" t="inlineStr">
        <is>
          <t xml:space="preserve">HRD-177-26S052587</t>
        </is>
      </c>
      <c r="C31" s="7" t="inlineStr">
        <is>
          <t xml:space="preserve">AHL3NVDRX7_1</t>
        </is>
      </c>
      <c r="D31" s="21" t="inlineStr">
        <is>
          <t xml:space="preserve">chr17</t>
        </is>
      </c>
      <c r="E31" s="2">
        <v>7577104</v>
      </c>
      <c r="F31" s="2">
        <v>7577106</v>
      </c>
      <c r="G31" s="21" t="inlineStr">
        <is>
          <t xml:space="preserve">AGG</t>
        </is>
      </c>
      <c r="H31" s="21" t="inlineStr">
        <is>
          <t xml:space="preserve">GGA</t>
        </is>
      </c>
      <c r="I31" s="23" t="inlineStr">
        <is>
          <t xml:space="preserve">GGTCTCTCCC-AGG-ACAGGCACAA</t>
        </is>
      </c>
      <c r="J31" s="24" t="inlineStr">
        <is>
          <t xml:space="preserve">PASS</t>
        </is>
      </c>
      <c r="K31" s="2">
        <v>1902</v>
      </c>
      <c r="L31" s="3">
        <v>0.4017</v>
      </c>
      <c r="M31" s="2">
        <v>764</v>
      </c>
      <c r="N31" s="21" t="inlineStr">
        <is>
          <t xml:space="preserve">TP53</t>
        </is>
      </c>
      <c r="O31" s="24" t="inlineStr">
        <is>
          <t xml:space="preserve">nonSynonymous_Substitution</t>
        </is>
      </c>
      <c r="P31" s="26" t="inlineStr">
        <is>
          <t xml:space="preserve">NM_000546.6:exon8:c.832_834delinsTCC:p.(P278S):p.(Pro278Ser)</t>
        </is>
      </c>
      <c r="Q31" s="2">
        <v>4</v>
      </c>
      <c r="R31" s="21" t="inlineStr">
        <is>
          <t xml:space="preserve">NA</t>
        </is>
      </c>
      <c r="S31" s="28" t="inlineStr">
        <is>
          <t xml:space="preserve">NA</t>
        </is>
      </c>
      <c r="T31" s="29" t="inlineStr">
        <is>
          <t xml:space="preserve">NA</t>
        </is>
      </c>
      <c r="U31" s="29" t="inlineStr">
        <is>
          <t xml:space="preserve">NA</t>
        </is>
      </c>
      <c r="V31" s="29" t="inlineStr">
        <is>
          <t xml:space="preserve">NA</t>
        </is>
      </c>
      <c r="W31" s="29" t="inlineStr">
        <is>
          <t xml:space="preserve">NA</t>
        </is>
      </c>
      <c r="X31" s="29" t="inlineStr">
        <is>
          <t xml:space="preserve">NA</t>
        </is>
      </c>
      <c r="Y31" s="30" t="inlineStr">
        <is>
          <t xml:space="preserve">NA</t>
        </is>
      </c>
      <c r="Z31" s="20" t="inlineStr">
        <is>
          <t xml:space="preserve">NA</t>
        </is>
      </c>
      <c r="AA31" s="6" t="inlineStr">
        <is>
          <t xml:space="preserve">NA</t>
        </is>
      </c>
      <c r="AB31" s="6" t="inlineStr">
        <is>
          <t xml:space="preserve">12826609,30224644,29979965,21343334</t>
        </is>
      </c>
      <c r="AC31" s="31" t="inlineStr">
        <is>
          <t xml:space="preserve">W0877_TP53_E09-08</t>
        </is>
      </c>
      <c r="AD31" s="2">
        <v>764</v>
      </c>
      <c r="AE31" s="2">
        <v>0</v>
      </c>
    </row>
    <row r="32">
      <c r="A32" s="6" t="inlineStr">
        <is>
          <t xml:space="preserve">HRD-177-26S052587</t>
        </is>
      </c>
      <c r="B32" s="7" t="inlineStr">
        <is>
          <t xml:space="preserve">HRD-177-26S052587</t>
        </is>
      </c>
      <c r="C32" s="7" t="inlineStr">
        <is>
          <t xml:space="preserve">AHL3NVDRX7_1</t>
        </is>
      </c>
      <c r="D32" s="21" t="inlineStr">
        <is>
          <t xml:space="preserve">chr17</t>
        </is>
      </c>
      <c r="E32" s="2">
        <v>7579472</v>
      </c>
      <c r="F32" s="2">
        <v>7579472</v>
      </c>
      <c r="G32" s="21" t="inlineStr">
        <is>
          <t xml:space="preserve">G</t>
        </is>
      </c>
      <c r="H32" s="21" t="inlineStr">
        <is>
          <t xml:space="preserve">C</t>
        </is>
      </c>
      <c r="I32" s="23" t="inlineStr">
        <is>
          <t xml:space="preserve">AGGGGCCACG-G-GGGGAGCAGC</t>
        </is>
      </c>
      <c r="J32" s="24" t="inlineStr">
        <is>
          <t xml:space="preserve">PASS;Polymer;Polymorphism;WBC</t>
        </is>
      </c>
      <c r="K32" s="2">
        <v>839</v>
      </c>
      <c r="L32" s="3">
        <v>0.9404</v>
      </c>
      <c r="M32" s="2">
        <v>789</v>
      </c>
      <c r="N32" s="21" t="inlineStr">
        <is>
          <t xml:space="preserve">TP53</t>
        </is>
      </c>
      <c r="O32" s="24" t="inlineStr">
        <is>
          <t xml:space="preserve">nonSynonymous_Substitution</t>
        </is>
      </c>
      <c r="P32" s="26" t="inlineStr">
        <is>
          <t xml:space="preserve">NM_000546.6:exon4:c.215C&gt;G:p.(P72R):p.(Pro72Arg)</t>
        </is>
      </c>
      <c r="Q32" s="2">
        <v>1</v>
      </c>
      <c r="R32" s="22">
        <f>HYPERLINK("https://grch37.ensembl.org/Homo_sapiens/Variation/Citations?v=rs1042522", "rs1042522") </f>
      </c>
      <c r="S32" s="3">
        <v>0.542931</v>
      </c>
      <c r="T32" s="3">
        <v>0.5863</v>
      </c>
      <c r="U32" s="3">
        <v>0.7147</v>
      </c>
      <c r="V32" s="3">
        <v>0.683</v>
      </c>
      <c r="W32" s="3">
        <v>0.5082</v>
      </c>
      <c r="X32" s="3">
        <v>0.3313</v>
      </c>
      <c r="Y32" s="22">
        <f>HYPERLINK("https://www.ncbi.nlm.nih.gov/clinvar/variation/12351", "12351") </f>
      </c>
      <c r="Z32" s="20" t="inlineStr">
        <is>
          <t xml:space="preserve">Benign</t>
        </is>
      </c>
      <c r="AA32" s="22">
        <f>HYPERLINK("https://grch37-cancer.sanger.ac.uk/cosmic/search?q=COSM3766193", "COSM3766193") </f>
      </c>
      <c r="AB32" s="6" t="inlineStr">
        <is>
          <t xml:space="preserve">30176882,37349321,31636198,29880898,31660073,25855536</t>
        </is>
      </c>
      <c r="AC32" s="31" t="inlineStr">
        <is>
          <t xml:space="preserve">W0888_TP53_E04</t>
        </is>
      </c>
      <c r="AD32" s="2">
        <v>0</v>
      </c>
      <c r="AE32" s="2">
        <v>789</v>
      </c>
    </row>
    <row r="33">
      <c r="A33" s="6" t="inlineStr">
        <is>
          <t xml:space="preserve">HRD-177-26S052587</t>
        </is>
      </c>
      <c r="B33" s="7" t="inlineStr">
        <is>
          <t xml:space="preserve">HRD-177-26S052587</t>
        </is>
      </c>
      <c r="C33" s="7" t="inlineStr">
        <is>
          <t xml:space="preserve">AHL3NVDRX7_1</t>
        </is>
      </c>
      <c r="D33" s="21" t="inlineStr">
        <is>
          <t xml:space="preserve">chr17</t>
        </is>
      </c>
      <c r="E33" s="2">
        <v>56801425</v>
      </c>
      <c r="F33" s="2">
        <v>56801425</v>
      </c>
      <c r="G33" s="21" t="inlineStr">
        <is>
          <t xml:space="preserve">C</t>
        </is>
      </c>
      <c r="H33" s="21" t="inlineStr">
        <is>
          <t xml:space="preserve">T</t>
        </is>
      </c>
      <c r="I33" s="23" t="inlineStr">
        <is>
          <t xml:space="preserve">CATGCTGCTA-C-AATACGGCTA</t>
        </is>
      </c>
      <c r="J33" s="24" t="inlineStr">
        <is>
          <t xml:space="preserve">PASS</t>
        </is>
      </c>
      <c r="K33" s="2">
        <v>7395</v>
      </c>
      <c r="L33" s="3">
        <v>0.592</v>
      </c>
      <c r="M33" s="2">
        <v>4378</v>
      </c>
      <c r="N33" s="21" t="inlineStr">
        <is>
          <t xml:space="preserve">RAD51C</t>
        </is>
      </c>
      <c r="O33" s="24" t="inlineStr">
        <is>
          <t xml:space="preserve">nonSynonymous_Substitution</t>
        </is>
      </c>
      <c r="P33" s="26" t="inlineStr">
        <is>
          <t xml:space="preserve">NM_058216.3:exon7:c.929C&gt;T:p.(T310I):p.(Thr310Ile)</t>
        </is>
      </c>
      <c r="Q33" s="2">
        <v>3</v>
      </c>
      <c r="R33" s="22">
        <f>HYPERLINK("https://grch37.ensembl.org/Homo_sapiens/Variation/Citations?v=rs2049022193", "rs2049022193") </f>
      </c>
      <c r="S33" s="28" t="inlineStr">
        <is>
          <t xml:space="preserve">NA</t>
        </is>
      </c>
      <c r="T33" s="29" t="inlineStr">
        <is>
          <t xml:space="preserve">NA</t>
        </is>
      </c>
      <c r="U33" s="29" t="inlineStr">
        <is>
          <t xml:space="preserve">NA</t>
        </is>
      </c>
      <c r="V33" s="29" t="inlineStr">
        <is>
          <t xml:space="preserve">NA</t>
        </is>
      </c>
      <c r="W33" s="29" t="inlineStr">
        <is>
          <t xml:space="preserve">NA</t>
        </is>
      </c>
      <c r="X33" s="29" t="inlineStr">
        <is>
          <t xml:space="preserve">NA</t>
        </is>
      </c>
      <c r="Y33" s="22">
        <f>HYPERLINK("https://www.ncbi.nlm.nih.gov/clinvar/variation/843155", "843155") </f>
      </c>
      <c r="Z33" s="20" t="inlineStr">
        <is>
          <t xml:space="preserve">Uncertain_significance</t>
        </is>
      </c>
      <c r="AA33" s="6" t="inlineStr">
        <is>
          <t xml:space="preserve">NA</t>
        </is>
      </c>
      <c r="AB33" s="6" t="inlineStr">
        <is>
          <t xml:space="preserve">NA</t>
        </is>
      </c>
      <c r="AC33" s="31" t="inlineStr">
        <is>
          <t xml:space="preserve">W0817_RAD51C_E07;W0818_RAD51C_E07</t>
        </is>
      </c>
      <c r="AD33" s="2">
        <v>2504</v>
      </c>
      <c r="AE33" s="2">
        <v>1874</v>
      </c>
    </row>
    <row r="34">
      <c r="A34" s="6" t="inlineStr">
        <is>
          <t xml:space="preserve">HRD-177-26S052587</t>
        </is>
      </c>
      <c r="B34" s="7" t="inlineStr">
        <is>
          <t xml:space="preserve">HRD-177-26S052587</t>
        </is>
      </c>
      <c r="C34" s="7" t="inlineStr">
        <is>
          <t xml:space="preserve">AHL3NVDRX7_1</t>
        </is>
      </c>
      <c r="D34" s="21" t="inlineStr">
        <is>
          <t xml:space="preserve">chr17</t>
        </is>
      </c>
      <c r="E34" s="2">
        <v>59760996</v>
      </c>
      <c r="F34" s="2">
        <v>59760996</v>
      </c>
      <c r="G34" s="21" t="inlineStr">
        <is>
          <t xml:space="preserve">A</t>
        </is>
      </c>
      <c r="H34" s="21" t="inlineStr">
        <is>
          <t xml:space="preserve">G</t>
        </is>
      </c>
      <c r="I34" s="23" t="inlineStr">
        <is>
          <t xml:space="preserve">CTTCAGGATC-A-TAAAGTTCAG</t>
        </is>
      </c>
      <c r="J34" s="24" t="inlineStr">
        <is>
          <t xml:space="preserve">PASS;Polymorphism;WBC</t>
        </is>
      </c>
      <c r="K34" s="2">
        <v>2405</v>
      </c>
      <c r="L34" s="3">
        <v>0.9933</v>
      </c>
      <c r="M34" s="2">
        <v>2389</v>
      </c>
      <c r="N34" s="21" t="inlineStr">
        <is>
          <t xml:space="preserve">BRIP1</t>
        </is>
      </c>
      <c r="O34" s="24" t="inlineStr">
        <is>
          <t xml:space="preserve">Synonymous_Substitution</t>
        </is>
      </c>
      <c r="P34" s="26" t="inlineStr">
        <is>
          <t xml:space="preserve">NM_032043.3:exon20:c.3411T&gt;C:p.(Y1137=):p.(Tyr1137=)</t>
        </is>
      </c>
      <c r="Q34" s="2">
        <v>1</v>
      </c>
      <c r="R34" s="22">
        <f>HYPERLINK("https://grch37.ensembl.org/Homo_sapiens/Variation/Citations?v=rs4986763", "rs4986763") </f>
      </c>
      <c r="S34" s="3">
        <v>0.620807</v>
      </c>
      <c r="T34" s="3">
        <v>0.754</v>
      </c>
      <c r="U34" s="3">
        <v>0.5616</v>
      </c>
      <c r="V34" s="3">
        <v>0.7305</v>
      </c>
      <c r="W34" s="3">
        <v>0.408</v>
      </c>
      <c r="X34" s="3">
        <v>0.6641</v>
      </c>
      <c r="Y34" s="22">
        <f>HYPERLINK("https://www.ncbi.nlm.nih.gov/clinvar/variation/183702", "183702") </f>
      </c>
      <c r="Z34" s="20" t="inlineStr">
        <is>
          <t xml:space="preserve">Benign</t>
        </is>
      </c>
      <c r="AA34" s="22">
        <f>HYPERLINK("https://grch37-cancer.sanger.ac.uk/cosmic/search?q=COSM7302342", "COSM7302342") </f>
      </c>
      <c r="AB34" s="6" t="inlineStr">
        <is>
          <t xml:space="preserve">30176882,27175599</t>
        </is>
      </c>
      <c r="AC34" s="31" t="inlineStr">
        <is>
          <t xml:space="preserve">W0390_BRIP1_E20;*W0391_BRIP1_E20</t>
        </is>
      </c>
      <c r="AD34" s="2">
        <v>1171</v>
      </c>
      <c r="AE34" s="2">
        <v>1218</v>
      </c>
    </row>
    <row r="35">
      <c r="A35" s="6" t="inlineStr">
        <is>
          <t xml:space="preserve">HRD-177-26S052587</t>
        </is>
      </c>
      <c r="B35" s="7" t="inlineStr">
        <is>
          <t xml:space="preserve">HRD-177-26S052587</t>
        </is>
      </c>
      <c r="C35" s="7" t="inlineStr">
        <is>
          <t xml:space="preserve">AHL3NVDRX7_1</t>
        </is>
      </c>
      <c r="D35" s="21" t="inlineStr">
        <is>
          <t xml:space="preserve">chr17</t>
        </is>
      </c>
      <c r="E35" s="2">
        <v>59763347</v>
      </c>
      <c r="F35" s="2">
        <v>59763347</v>
      </c>
      <c r="G35" s="21" t="inlineStr">
        <is>
          <t xml:space="preserve">A</t>
        </is>
      </c>
      <c r="H35" s="21" t="inlineStr">
        <is>
          <t xml:space="preserve">G</t>
        </is>
      </c>
      <c r="I35" s="23" t="inlineStr">
        <is>
          <t xml:space="preserve">AAATAAGGTG-A-GGTACTGTAC</t>
        </is>
      </c>
      <c r="J35" s="24" t="inlineStr">
        <is>
          <t xml:space="preserve">PASS;Polymorphism;WBC</t>
        </is>
      </c>
      <c r="K35" s="2">
        <v>3567</v>
      </c>
      <c r="L35" s="3">
        <v>0.9966</v>
      </c>
      <c r="M35" s="2">
        <v>3555</v>
      </c>
      <c r="N35" s="21" t="inlineStr">
        <is>
          <t xml:space="preserve">BRIP1</t>
        </is>
      </c>
      <c r="O35" s="24" t="inlineStr">
        <is>
          <t xml:space="preserve">nonSynonymous_Substitution</t>
        </is>
      </c>
      <c r="P35" s="26" t="inlineStr">
        <is>
          <t xml:space="preserve">NM_032043.3:exon19:c.2755T&gt;C:p.(S919P):p.(Ser919Pro)</t>
        </is>
      </c>
      <c r="Q35" s="2">
        <v>1</v>
      </c>
      <c r="R35" s="22">
        <f>HYPERLINK("https://grch37.ensembl.org/Homo_sapiens/Variation/Citations?v=rs4986764", "rs4986764") </f>
      </c>
      <c r="S35" s="3">
        <v>0.627796</v>
      </c>
      <c r="T35" s="3">
        <v>0.755</v>
      </c>
      <c r="U35" s="3">
        <v>0.5616</v>
      </c>
      <c r="V35" s="3">
        <v>0.7363</v>
      </c>
      <c r="W35" s="3">
        <v>0.409</v>
      </c>
      <c r="X35" s="3">
        <v>0.6861</v>
      </c>
      <c r="Y35" s="22">
        <f>HYPERLINK("https://www.ncbi.nlm.nih.gov/clinvar/variation/133756", "133756") </f>
      </c>
      <c r="Z35" s="20" t="inlineStr">
        <is>
          <t xml:space="preserve">Benign</t>
        </is>
      </c>
      <c r="AA35" s="22">
        <f>HYPERLINK("https://grch37-cancer.sanger.ac.uk/cosmic/search?q=COSM7302516", "COSM7302516") </f>
      </c>
      <c r="AB35" s="6" t="inlineStr">
        <is>
          <t xml:space="preserve">31636198,30176882,27175599,39895895</t>
        </is>
      </c>
      <c r="AC35" s="31" t="inlineStr">
        <is>
          <t xml:space="preserve">W0396_BRIP1_E19;*W0397_BRIP1_E19</t>
        </is>
      </c>
      <c r="AD35" s="2">
        <v>1742</v>
      </c>
      <c r="AE35" s="2">
        <v>1813</v>
      </c>
    </row>
    <row r="36">
      <c r="A36" s="6" t="inlineStr">
        <is>
          <t xml:space="preserve">HRD-177-26S052587</t>
        </is>
      </c>
      <c r="B36" s="7" t="inlineStr">
        <is>
          <t xml:space="preserve">HRD-177-26S052587</t>
        </is>
      </c>
      <c r="C36" s="7" t="inlineStr">
        <is>
          <t xml:space="preserve">AHL3NVDRX7_1</t>
        </is>
      </c>
      <c r="D36" s="21" t="inlineStr">
        <is>
          <t xml:space="preserve">chr17</t>
        </is>
      </c>
      <c r="E36" s="2">
        <v>59763465</v>
      </c>
      <c r="F36" s="2">
        <v>59763465</v>
      </c>
      <c r="G36" s="21" t="inlineStr">
        <is>
          <t xml:space="preserve">T</t>
        </is>
      </c>
      <c r="H36" s="21" t="inlineStr">
        <is>
          <t xml:space="preserve">C</t>
        </is>
      </c>
      <c r="I36" s="23" t="inlineStr">
        <is>
          <t xml:space="preserve">CAGCCAAGGA-T-TCCAGTGCAC</t>
        </is>
      </c>
      <c r="J36" s="24" t="inlineStr">
        <is>
          <t xml:space="preserve">PASS;Polymorphism;WBC</t>
        </is>
      </c>
      <c r="K36" s="2">
        <v>3946</v>
      </c>
      <c r="L36" s="3">
        <v>0.9985</v>
      </c>
      <c r="M36" s="2">
        <v>3940</v>
      </c>
      <c r="N36" s="21" t="inlineStr">
        <is>
          <t xml:space="preserve">BRIP1</t>
        </is>
      </c>
      <c r="O36" s="24" t="inlineStr">
        <is>
          <t xml:space="preserve">Synonymous_Substitution</t>
        </is>
      </c>
      <c r="P36" s="26" t="inlineStr">
        <is>
          <t xml:space="preserve">NM_032043.3:exon19:c.2637A&gt;G:p.(E879=):p.(Glu879=)</t>
        </is>
      </c>
      <c r="Q36" s="2">
        <v>1</v>
      </c>
      <c r="R36" s="22">
        <f>HYPERLINK("https://grch37.ensembl.org/Homo_sapiens/Variation/Citations?v=rs4986765", "rs4986765") </f>
      </c>
      <c r="S36" s="3">
        <v>0.815096</v>
      </c>
      <c r="T36" s="3">
        <v>0.9127</v>
      </c>
      <c r="U36" s="3">
        <v>0.6531</v>
      </c>
      <c r="V36" s="3">
        <v>0.8285</v>
      </c>
      <c r="W36" s="3">
        <v>0.7014</v>
      </c>
      <c r="X36" s="3">
        <v>0.941</v>
      </c>
      <c r="Y36" s="22">
        <f>HYPERLINK("https://www.ncbi.nlm.nih.gov/clinvar/variation/183703", "183703") </f>
      </c>
      <c r="Z36" s="20" t="inlineStr">
        <is>
          <t xml:space="preserve">Benign</t>
        </is>
      </c>
      <c r="AA36" s="22">
        <f>HYPERLINK("https://grch37-cancer.sanger.ac.uk/cosmic/search?q=COSM10646464", "COSM10646464") </f>
      </c>
      <c r="AB36" s="22">
        <f>HYPERLINK("https://www.ncbi.nlm.nih.gov/pubmed/30176882", "30176882") </f>
      </c>
      <c r="AC36" s="31" t="inlineStr">
        <is>
          <t xml:space="preserve">*W0397_BRIP1_E19;*W0398_BRIP1_E19</t>
        </is>
      </c>
      <c r="AD36" s="2">
        <v>2158</v>
      </c>
      <c r="AE36" s="2">
        <v>1782</v>
      </c>
    </row>
    <row r="37">
      <c r="A37" s="6" t="inlineStr">
        <is>
          <t xml:space="preserve">HRD-177-26S052587</t>
        </is>
      </c>
      <c r="B37" s="7" t="inlineStr">
        <is>
          <t xml:space="preserve">HRD-177-26S052587</t>
        </is>
      </c>
      <c r="C37" s="7" t="inlineStr">
        <is>
          <t xml:space="preserve">AHL3NVDRX7_1</t>
        </is>
      </c>
      <c r="D37" s="21" t="inlineStr">
        <is>
          <t xml:space="preserve">chr17</t>
        </is>
      </c>
      <c r="E37" s="2">
        <v>59857610</v>
      </c>
      <c r="F37" s="2">
        <v>59857611</v>
      </c>
      <c r="G37" s="21" t="inlineStr">
        <is>
          <t xml:space="preserve">-</t>
        </is>
      </c>
      <c r="H37" s="21" t="inlineStr">
        <is>
          <t xml:space="preserve">A</t>
        </is>
      </c>
      <c r="I37" s="23" t="inlineStr">
        <is>
          <t xml:space="preserve">AAAAAAAAAA-*-CAACAACTAA</t>
        </is>
      </c>
      <c r="J37" s="24" t="inlineStr">
        <is>
          <t xml:space="preserve">PASS;Polymer;Polymorphism;WBC</t>
        </is>
      </c>
      <c r="K37" s="2">
        <v>1909</v>
      </c>
      <c r="L37" s="3">
        <v>0.0545</v>
      </c>
      <c r="M37" s="2">
        <v>104</v>
      </c>
      <c r="N37" s="21" t="inlineStr">
        <is>
          <t xml:space="preserve">BRIP1</t>
        </is>
      </c>
      <c r="O37" s="24" t="inlineStr">
        <is>
          <t xml:space="preserve">Intronic</t>
        </is>
      </c>
      <c r="P37" s="26" t="inlineStr">
        <is>
          <t xml:space="preserve">NM_032043.3:intron13:c.1935+22dup:p.?:p.?</t>
        </is>
      </c>
      <c r="Q37" s="2">
        <v>1</v>
      </c>
      <c r="R37" s="22">
        <f>HYPERLINK("https://grch37.ensembl.org/Homo_sapiens/Variation/Citations?v=rs74268880", "rs74268880") </f>
      </c>
      <c r="S37" s="28" t="inlineStr">
        <is>
          <t xml:space="preserve">NA</t>
        </is>
      </c>
      <c r="T37" s="29" t="inlineStr">
        <is>
          <t xml:space="preserve">NA</t>
        </is>
      </c>
      <c r="U37" s="29" t="inlineStr">
        <is>
          <t xml:space="preserve">NA</t>
        </is>
      </c>
      <c r="V37" s="29" t="inlineStr">
        <is>
          <t xml:space="preserve">NA</t>
        </is>
      </c>
      <c r="W37" s="29" t="inlineStr">
        <is>
          <t xml:space="preserve">NA</t>
        </is>
      </c>
      <c r="X37" s="29" t="inlineStr">
        <is>
          <t xml:space="preserve">NA</t>
        </is>
      </c>
      <c r="Y37" s="22">
        <f>HYPERLINK("https://www.ncbi.nlm.nih.gov/clinvar/variation/1697631", "1697631") </f>
      </c>
      <c r="Z37" s="20" t="inlineStr">
        <is>
          <t xml:space="preserve">Benign</t>
        </is>
      </c>
      <c r="AA37" s="22">
        <f>HYPERLINK("https://grch37-cancer.sanger.ac.uk/cosmic/search?q=COSN31924038", "COSN31924038") </f>
      </c>
      <c r="AB37" s="22">
        <f>HYPERLINK("https://www.ncbi.nlm.nih.gov/pubmed/28713588", "28713588") </f>
      </c>
      <c r="AC37" s="31" t="inlineStr">
        <is>
          <t xml:space="preserve">W0410_BRIP1_E13</t>
        </is>
      </c>
      <c r="AD37" s="2">
        <v>0</v>
      </c>
      <c r="AE37" s="2">
        <v>104</v>
      </c>
    </row>
  </sheetData>
  <autoFilter ref="A1:AE3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6"/>
    <col min="2" max="2" hidden="1" bestFit="0" customWidth="1" width="0.000000" style="7"/>
    <col min="3" max="3" hidden="1" bestFit="0" customWidth="1" width="0.000000" style="7"/>
    <col min="4" max="4" hidden="0" bestFit="0" customWidth="1" width="10.000000" style="21"/>
    <col min="5" max="5" hidden="0" bestFit="0" customWidth="1" width="18.000000" style="13"/>
    <col min="6" max="6" hidden="0" bestFit="0" customWidth="1" width="18.000000" style="13"/>
    <col min="7" max="7" hidden="0" bestFit="0" customWidth="1" width="10.000000" style="21"/>
    <col min="8" max="8" hidden="0" bestFit="0" customWidth="1" width="10.000000" style="21"/>
    <col min="9" max="9" hidden="0" bestFit="0" customWidth="1" width="35.000000" style="23"/>
    <col min="10" max="10" hidden="0" bestFit="0" customWidth="1" width="30.000000" style="24"/>
    <col min="11" max="11" hidden="0" bestFit="0" customWidth="1" width="10.000000" style="21"/>
    <col min="12" max="12" hidden="0" bestFit="0" customWidth="1" width="10.000000" style="21"/>
    <col min="13" max="13" hidden="0" bestFit="0" customWidth="1" width="11.600000" style="25"/>
    <col min="14" max="14" hidden="0" bestFit="0" customWidth="1" width="10.000000" style="21"/>
    <col min="15" max="15" hidden="0" bestFit="0" customWidth="1" width="30.000000" style="24"/>
    <col min="16" max="16" hidden="0" bestFit="0" customWidth="1" width="55.000000" style="26"/>
    <col min="17" max="17" hidden="0" bestFit="0" customWidth="1" width="17.400000" style="27"/>
    <col min="18" max="18" hidden="0" bestFit="0" customWidth="1" width="10.000000" style="21"/>
    <col min="19" max="19" hidden="0" bestFit="0" customWidth="1" width="10.000000" style="28"/>
    <col min="20" max="20" hidden="0" bestFit="0" customWidth="1" width="18.000000" style="29"/>
    <col min="21" max="21" hidden="0" bestFit="0" customWidth="1" width="18.000000" style="29"/>
    <col min="22" max="22" hidden="0" bestFit="0" customWidth="1" width="18.000000" style="29"/>
    <col min="23" max="23" hidden="0" bestFit="0" customWidth="1" width="18.000000" style="29"/>
    <col min="24" max="24" hidden="0" bestFit="0" customWidth="1" width="18.000000" style="29"/>
    <col min="25" max="25" hidden="0" bestFit="0" customWidth="1" width="10.150000" style="30"/>
    <col min="26" max="26" hidden="0" bestFit="0" customWidth="1" width="20.300000" style="20"/>
    <col min="27" max="27" hidden="0" bestFit="0" customWidth="1" width="26.000000" style="6"/>
    <col min="28" max="28" hidden="0" bestFit="0" customWidth="1" width="26.000000" style="6"/>
    <col min="29" max="29" hidden="0" bestFit="0" customWidth="1" width="33.000000" style="31"/>
    <col min="30" max="30" hidden="0" bestFit="0" customWidth="1" width="10.000000" style="21"/>
    <col min="31" max="31" hidden="0" bestFit="0" customWidth="1" width="10.000000" style="21"/>
  </cols>
  <sheetData>
    <row r="1">
      <c r="A1" s="6" t="inlineStr">
        <is>
          <t xml:space="preserve">Sample</t>
        </is>
      </c>
      <c r="B1" s="7" t="inlineStr">
        <is>
          <t xml:space="preserve">Library</t>
        </is>
      </c>
      <c r="C1" s="7" t="inlineStr">
        <is>
          <t xml:space="preserve">FlowCell_Lane</t>
        </is>
      </c>
      <c r="D1" s="21" t="inlineStr">
        <is>
          <t xml:space="preserve">Chr</t>
        </is>
      </c>
      <c r="E1" s="13" t="inlineStr">
        <is>
          <t xml:space="preserve">Start</t>
        </is>
      </c>
      <c r="F1" s="13" t="inlineStr">
        <is>
          <t xml:space="preserve">End</t>
        </is>
      </c>
      <c r="G1" s="21" t="inlineStr">
        <is>
          <t xml:space="preserve">Ref</t>
        </is>
      </c>
      <c r="H1" s="21" t="inlineStr">
        <is>
          <t xml:space="preserve">Alt</t>
        </is>
      </c>
      <c r="I1" s="23" t="inlineStr">
        <is>
          <t xml:space="preserve">Context</t>
        </is>
      </c>
      <c r="J1" s="24" t="inlineStr">
        <is>
          <t xml:space="preserve">Tags</t>
        </is>
      </c>
      <c r="K1" s="21" t="inlineStr">
        <is>
          <t xml:space="preserve">Depth</t>
        </is>
      </c>
      <c r="L1" s="21" t="inlineStr">
        <is>
          <t xml:space="preserve">Freq</t>
        </is>
      </c>
      <c r="M1" s="25" t="inlineStr">
        <is>
          <t xml:space="preserve">AltDepth</t>
        </is>
      </c>
      <c r="N1" s="21" t="inlineStr">
        <is>
          <t xml:space="preserve">Gene</t>
        </is>
      </c>
      <c r="O1" s="24" t="inlineStr">
        <is>
          <t xml:space="preserve">Type</t>
        </is>
      </c>
      <c r="P1" s="26" t="inlineStr">
        <is>
          <t xml:space="preserve">CDSChange</t>
        </is>
      </c>
      <c r="Q1" s="27" t="inlineStr">
        <is>
          <t xml:space="preserve">Significance</t>
        </is>
      </c>
      <c r="R1" s="21" t="inlineStr">
        <is>
          <t xml:space="preserve">dbSNP</t>
        </is>
      </c>
      <c r="S1" s="28" t="inlineStr">
        <is>
          <t xml:space="preserve">1KG</t>
        </is>
      </c>
      <c r="T1" s="29" t="inlineStr">
        <is>
          <t xml:space="preserve">1KG_EAS_AF</t>
        </is>
      </c>
      <c r="U1" s="29" t="inlineStr">
        <is>
          <t xml:space="preserve">1KG_EUR_AF</t>
        </is>
      </c>
      <c r="V1" s="29" t="inlineStr">
        <is>
          <t xml:space="preserve">1KG_AMR_AF</t>
        </is>
      </c>
      <c r="W1" s="29" t="inlineStr">
        <is>
          <t xml:space="preserve">1KG_SAS_AF</t>
        </is>
      </c>
      <c r="X1" s="29" t="inlineStr">
        <is>
          <t xml:space="preserve">1KG_AFR_AF</t>
        </is>
      </c>
      <c r="Y1" s="30" t="inlineStr">
        <is>
          <t xml:space="preserve">ClinVar</t>
        </is>
      </c>
      <c r="Z1" s="20" t="inlineStr">
        <is>
          <t xml:space="preserve">ClinVar_CLNSIG</t>
        </is>
      </c>
      <c r="AA1" s="6" t="inlineStr">
        <is>
          <t xml:space="preserve">COSMIC</t>
        </is>
      </c>
      <c r="AB1" s="6" t="inlineStr">
        <is>
          <t xml:space="preserve">PMID</t>
        </is>
      </c>
      <c r="AC1" s="31" t="inlineStr">
        <is>
          <t xml:space="preserve">Amplicon</t>
        </is>
      </c>
      <c r="AD1" s="21" t="inlineStr">
        <is>
          <t xml:space="preserve">Plus</t>
        </is>
      </c>
      <c r="AE1" s="21" t="inlineStr">
        <is>
          <t xml:space="preserve">Minus</t>
        </is>
      </c>
    </row>
    <row r="2">
      <c r="A2" s="6" t="inlineStr">
        <is>
          <t xml:space="preserve">HRD-177-26S052587</t>
        </is>
      </c>
      <c r="B2" s="7" t="inlineStr">
        <is>
          <t xml:space="preserve">HRD-177-26S052587</t>
        </is>
      </c>
      <c r="C2" s="7" t="inlineStr">
        <is>
          <t xml:space="preserve">AHL3NVDRX7_1</t>
        </is>
      </c>
      <c r="D2" s="21" t="inlineStr">
        <is>
          <t xml:space="preserve">chr17</t>
        </is>
      </c>
      <c r="E2" s="2">
        <v>37649003</v>
      </c>
      <c r="F2" s="2">
        <v>37649003</v>
      </c>
      <c r="G2" s="21" t="inlineStr">
        <is>
          <t xml:space="preserve">G</t>
        </is>
      </c>
      <c r="H2" s="21" t="inlineStr">
        <is>
          <t xml:space="preserve">T</t>
        </is>
      </c>
      <c r="I2" s="23" t="inlineStr">
        <is>
          <t xml:space="preserve">TTACTTTTTA-G-AATTTGTTGT</t>
        </is>
      </c>
      <c r="J2" s="24" t="inlineStr">
        <is>
          <t xml:space="preserve">High_ND;Low_Freq</t>
        </is>
      </c>
      <c r="K2" s="2">
        <v>1022</v>
      </c>
      <c r="L2" s="3">
        <v>0.0098</v>
      </c>
      <c r="M2" s="2">
        <v>10</v>
      </c>
      <c r="N2" s="21" t="inlineStr">
        <is>
          <t xml:space="preserve">CDK12</t>
        </is>
      </c>
      <c r="O2" s="24" t="inlineStr">
        <is>
          <t xml:space="preserve">Splicing</t>
        </is>
      </c>
      <c r="P2" s="26" t="inlineStr">
        <is>
          <t xml:space="preserve">NM_016507.4:intron3:c.2109-1G&gt;T:p.?:p.?</t>
        </is>
      </c>
      <c r="Q2" s="2">
        <v>4</v>
      </c>
      <c r="R2" s="22">
        <f>HYPERLINK("https://grch37.ensembl.org/Homo_sapiens/Variation/Citations?v=rs2544670957", "rs2544670957") </f>
      </c>
      <c r="S2" s="28" t="inlineStr">
        <is>
          <t xml:space="preserve">NA</t>
        </is>
      </c>
      <c r="T2" s="29" t="inlineStr">
        <is>
          <t xml:space="preserve">NA</t>
        </is>
      </c>
      <c r="U2" s="29" t="inlineStr">
        <is>
          <t xml:space="preserve">NA</t>
        </is>
      </c>
      <c r="V2" s="29" t="inlineStr">
        <is>
          <t xml:space="preserve">NA</t>
        </is>
      </c>
      <c r="W2" s="29" t="inlineStr">
        <is>
          <t xml:space="preserve">NA</t>
        </is>
      </c>
      <c r="X2" s="29" t="inlineStr">
        <is>
          <t xml:space="preserve">NA</t>
        </is>
      </c>
      <c r="Y2" s="30" t="inlineStr">
        <is>
          <t xml:space="preserve">NA</t>
        </is>
      </c>
      <c r="Z2" s="20" t="inlineStr">
        <is>
          <t xml:space="preserve">NA</t>
        </is>
      </c>
      <c r="AA2" s="6" t="inlineStr">
        <is>
          <t xml:space="preserve">NA</t>
        </is>
      </c>
      <c r="AB2" s="6" t="inlineStr">
        <is>
          <t xml:space="preserve">NA</t>
        </is>
      </c>
      <c r="AC2" s="31" t="inlineStr">
        <is>
          <t xml:space="preserve">W0488_CDK12_E04</t>
        </is>
      </c>
      <c r="AD2" s="2">
        <v>10</v>
      </c>
      <c r="AE2" s="2">
        <v>0</v>
      </c>
    </row>
  </sheetData>
  <autoFilter ref="A1:AE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6"/>
    <col min="2" max="2" hidden="1" bestFit="0" customWidth="1" width="0.000000" style="7"/>
    <col min="3" max="3" hidden="1" bestFit="0" customWidth="1" width="0.000000" style="7"/>
    <col min="4" max="4" hidden="0" bestFit="0" customWidth="1" width="10.000000" style="21"/>
    <col min="5" max="5" hidden="0" bestFit="0" customWidth="1" width="14.500000" style="9"/>
    <col min="6" max="6" hidden="0" bestFit="0" customWidth="1" width="10.000000" style="21"/>
    <col min="7" max="7" hidden="0" bestFit="0" customWidth="1" width="10.000000" style="21"/>
    <col min="8" max="8" hidden="0" bestFit="0" customWidth="1" width="11.600000" style="25"/>
    <col min="9" max="9" hidden="0" bestFit="0" customWidth="1" width="15.950000" style="11"/>
    <col min="10" max="10" hidden="0" bestFit="0" customWidth="1" width="10.000000" style="21"/>
    <col min="11" max="11" hidden="0" bestFit="0" customWidth="1" width="10.000000" style="21"/>
    <col min="12" max="12" hidden="0" bestFit="0" customWidth="1" width="10.150000" style="30"/>
    <col min="13" max="13" hidden="0" bestFit="0" customWidth="1" width="10.000000" style="21"/>
    <col min="14" max="14" hidden="0" bestFit="0" customWidth="1" width="10.000000" style="21"/>
    <col min="15" max="15" hidden="0" bestFit="0" customWidth="1" width="13.050000" style="8"/>
    <col min="16" max="16" hidden="0" bestFit="0" customWidth="1" width="17.400000" style="27"/>
    <col min="17" max="17" hidden="0" bestFit="0" customWidth="1" width="10.000000" style="21"/>
    <col min="18" max="18" hidden="0" bestFit="0" customWidth="1" width="14.000000" style="32"/>
    <col min="19" max="19" hidden="0" bestFit="0" customWidth="1" width="15.950000" style="11"/>
    <col min="20" max="20" hidden="0" bestFit="0" customWidth="1" width="12.000000" style="16"/>
    <col min="21" max="21" hidden="0" bestFit="0" customWidth="1" width="12.000000" style="16"/>
  </cols>
  <sheetData>
    <row r="1">
      <c r="A1" s="6" t="inlineStr">
        <is>
          <t xml:space="preserve">Sample</t>
        </is>
      </c>
      <c r="B1" s="7" t="inlineStr">
        <is>
          <t xml:space="preserve">Library</t>
        </is>
      </c>
      <c r="C1" s="7" t="inlineStr">
        <is>
          <t xml:space="preserve">FlowCell_Lane</t>
        </is>
      </c>
      <c r="D1" s="21" t="inlineStr">
        <is>
          <t xml:space="preserve">Gene</t>
        </is>
      </c>
      <c r="E1" s="9" t="inlineStr">
        <is>
          <t xml:space="preserve">Transcript</t>
        </is>
      </c>
      <c r="F1" s="21" t="inlineStr">
        <is>
          <t xml:space="preserve">Region</t>
        </is>
      </c>
      <c r="G1" s="21" t="inlineStr">
        <is>
          <t xml:space="preserve">Type</t>
        </is>
      </c>
      <c r="H1" s="25" t="inlineStr">
        <is>
          <t xml:space="preserve">Location</t>
        </is>
      </c>
      <c r="I1" s="11" t="inlineStr">
        <is>
          <t xml:space="preserve">Coordinates</t>
        </is>
      </c>
      <c r="J1" s="21" t="inlineStr">
        <is>
          <t xml:space="preserve">Prob</t>
        </is>
      </c>
      <c r="K1" s="21" t="inlineStr">
        <is>
          <t xml:space="preserve">Cnvs</t>
        </is>
      </c>
      <c r="L1" s="30" t="inlineStr">
        <is>
          <t xml:space="preserve">Fitness</t>
        </is>
      </c>
      <c r="M1" s="21" t="inlineStr">
        <is>
          <t xml:space="preserve">Tag</t>
        </is>
      </c>
      <c r="N1" s="21" t="inlineStr">
        <is>
          <t xml:space="preserve">Cnlr</t>
        </is>
      </c>
      <c r="O1" s="8" t="inlineStr">
        <is>
          <t xml:space="preserve">DisHdCnlr</t>
        </is>
      </c>
      <c r="P1" s="27" t="inlineStr">
        <is>
          <t xml:space="preserve">DisHeterCnlr</t>
        </is>
      </c>
      <c r="Q1" s="21" t="inlineStr">
        <is>
          <t xml:space="preserve">Baf</t>
        </is>
      </c>
      <c r="R1" s="32" t="inlineStr">
        <is>
          <t xml:space="preserve">DisHdBaf</t>
        </is>
      </c>
      <c r="S1" s="11" t="inlineStr">
        <is>
          <t xml:space="preserve">DisHeterBaf</t>
        </is>
      </c>
      <c r="T1" s="16" t="inlineStr">
        <is>
          <t xml:space="preserve">HetNum</t>
        </is>
      </c>
      <c r="U1" s="16" t="inlineStr">
        <is>
          <t xml:space="preserve">CnlrNum</t>
        </is>
      </c>
    </row>
  </sheetData>
  <autoFilter ref="A1:U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E6E6E6"/>
  </sheetPr>
  <sheetViews>
    <sheetView workbookViewId="0">
      <pane state="frozen" topLeftCell="D2" xSplit="3" ySplit="1"/>
      <selection activeCell="A1" sqref="A1"/>
    </sheetView>
  </sheetViews>
  <sheetFormatPr defaultRowHeight="15" x14ac:dyDescent="0.25"/>
  <cols>
    <col min="1" max="1" hidden="0" bestFit="0" customWidth="1" width="26.000000" style="6"/>
    <col min="2" max="2" hidden="1" bestFit="0" customWidth="1" width="0.000000" style="7"/>
    <col min="3" max="3" hidden="1" bestFit="0" customWidth="1" width="0.000000" style="7"/>
    <col min="4" max="4" hidden="0" bestFit="0" customWidth="1" width="10.000000" style="21"/>
    <col min="5" max="5" hidden="0" bestFit="0" customWidth="1" width="14.500000" style="9"/>
    <col min="6" max="6" hidden="0" bestFit="0" customWidth="1" width="10.000000" style="21"/>
    <col min="7" max="7" hidden="0" bestFit="0" customWidth="1" width="10.000000" style="21"/>
    <col min="8" max="8" hidden="0" bestFit="0" customWidth="1" width="11.600000" style="25"/>
    <col min="9" max="9" hidden="0" bestFit="0" customWidth="1" width="15.950000" style="11"/>
    <col min="10" max="10" hidden="0" bestFit="0" customWidth="1" width="10.000000" style="21"/>
    <col min="11" max="11" hidden="0" bestFit="0" customWidth="1" width="10.000000" style="21"/>
    <col min="12" max="12" hidden="0" bestFit="0" customWidth="1" width="10.150000" style="30"/>
    <col min="13" max="13" hidden="0" bestFit="0" customWidth="1" width="35.000000" style="23"/>
    <col min="14" max="14" hidden="0" bestFit="0" customWidth="1" width="10.000000" style="21"/>
    <col min="15" max="15" hidden="0" bestFit="0" customWidth="1" width="13.050000" style="8"/>
    <col min="16" max="16" hidden="0" bestFit="0" customWidth="1" width="17.400000" style="27"/>
    <col min="17" max="17" hidden="0" bestFit="0" customWidth="1" width="10.000000" style="21"/>
    <col min="18" max="18" hidden="0" bestFit="0" customWidth="1" width="14.000000" style="32"/>
    <col min="19" max="19" hidden="0" bestFit="0" customWidth="1" width="15.950000" style="11"/>
    <col min="20" max="20" hidden="0" bestFit="0" customWidth="1" width="12.000000" style="16"/>
    <col min="21" max="21" hidden="0" bestFit="0" customWidth="1" width="12.000000" style="16"/>
  </cols>
  <sheetData>
    <row r="1">
      <c r="A1" s="6" t="inlineStr">
        <is>
          <t xml:space="preserve">Sample</t>
        </is>
      </c>
      <c r="B1" s="7" t="inlineStr">
        <is>
          <t xml:space="preserve">Library</t>
        </is>
      </c>
      <c r="C1" s="7" t="inlineStr">
        <is>
          <t xml:space="preserve">FlowCell_Lane</t>
        </is>
      </c>
      <c r="D1" s="21" t="inlineStr">
        <is>
          <t xml:space="preserve">Gene</t>
        </is>
      </c>
      <c r="E1" s="9" t="inlineStr">
        <is>
          <t xml:space="preserve">Transcript</t>
        </is>
      </c>
      <c r="F1" s="21" t="inlineStr">
        <is>
          <t xml:space="preserve">Region</t>
        </is>
      </c>
      <c r="G1" s="21" t="inlineStr">
        <is>
          <t xml:space="preserve">Type</t>
        </is>
      </c>
      <c r="H1" s="25" t="inlineStr">
        <is>
          <t xml:space="preserve">Location</t>
        </is>
      </c>
      <c r="I1" s="11" t="inlineStr">
        <is>
          <t xml:space="preserve">Coordinates</t>
        </is>
      </c>
      <c r="J1" s="21" t="inlineStr">
        <is>
          <t xml:space="preserve">Prob</t>
        </is>
      </c>
      <c r="K1" s="21" t="inlineStr">
        <is>
          <t xml:space="preserve">Cnvs</t>
        </is>
      </c>
      <c r="L1" s="30" t="inlineStr">
        <is>
          <t xml:space="preserve">Fitness</t>
        </is>
      </c>
      <c r="M1" s="23" t="inlineStr">
        <is>
          <t xml:space="preserve">Tag</t>
        </is>
      </c>
      <c r="N1" s="21" t="inlineStr">
        <is>
          <t xml:space="preserve">Cnlr</t>
        </is>
      </c>
      <c r="O1" s="8" t="inlineStr">
        <is>
          <t xml:space="preserve">DisHdCnlr</t>
        </is>
      </c>
      <c r="P1" s="27" t="inlineStr">
        <is>
          <t xml:space="preserve">DisHeterCnlr</t>
        </is>
      </c>
      <c r="Q1" s="21" t="inlineStr">
        <is>
          <t xml:space="preserve">Baf</t>
        </is>
      </c>
      <c r="R1" s="32" t="inlineStr">
        <is>
          <t xml:space="preserve">DisHdBaf</t>
        </is>
      </c>
      <c r="S1" s="11" t="inlineStr">
        <is>
          <t xml:space="preserve">DisHeterBaf</t>
        </is>
      </c>
      <c r="T1" s="16" t="inlineStr">
        <is>
          <t xml:space="preserve">HetNum</t>
        </is>
      </c>
      <c r="U1" s="16" t="inlineStr">
        <is>
          <t xml:space="preserve">CnlrNum</t>
        </is>
      </c>
    </row>
    <row r="2">
      <c r="A2" s="6" t="inlineStr">
        <is>
          <t xml:space="preserve">HRD-177-26S052587</t>
        </is>
      </c>
      <c r="B2" s="7" t="inlineStr">
        <is>
          <t xml:space="preserve">HRD-177-26S052587</t>
        </is>
      </c>
      <c r="C2" s="7" t="inlineStr">
        <is>
          <t xml:space="preserve">AHL3NVDRX7_1</t>
        </is>
      </c>
      <c r="D2" s="21" t="inlineStr">
        <is>
          <t xml:space="preserve">ATM</t>
        </is>
      </c>
      <c r="E2" s="9" t="inlineStr">
        <is>
          <t xml:space="preserve">NM_000051.4</t>
        </is>
      </c>
      <c r="F2" s="21" t="inlineStr">
        <is>
          <t xml:space="preserve">exon2-14</t>
        </is>
      </c>
      <c r="G2" s="21" t="inlineStr">
        <is>
          <t xml:space="preserve">others</t>
        </is>
      </c>
      <c r="H2" s="25" t="inlineStr">
        <is>
          <t xml:space="preserve">11q22.3</t>
        </is>
      </c>
      <c r="I2" s="11" t="inlineStr">
        <is>
          <t xml:space="preserve">chr11:108095244-108126986</t>
        </is>
      </c>
      <c r="J2" s="4">
        <v>0</v>
      </c>
      <c r="K2" s="2">
        <v>43</v>
      </c>
      <c r="L2" s="4">
        <v>0.7</v>
      </c>
      <c r="M2" s="23" t="inlineStr">
        <is>
          <t xml:space="preserve">CnlrFail;CnlrStdFail;PredictFail;probFail</t>
        </is>
      </c>
      <c r="N2" s="4">
        <v>1.25</v>
      </c>
      <c r="O2" s="4">
        <v>0.62</v>
      </c>
      <c r="P2" s="4">
        <v>0.43</v>
      </c>
      <c r="Q2" s="21" t="inlineStr">
        <is>
          <t xml:space="preserve">-</t>
        </is>
      </c>
      <c r="R2" s="32" t="inlineStr">
        <is>
          <t xml:space="preserve">-</t>
        </is>
      </c>
      <c r="S2" s="11" t="inlineStr">
        <is>
          <t xml:space="preserve">-</t>
        </is>
      </c>
      <c r="T2" s="2">
        <v>0</v>
      </c>
      <c r="U2" s="2">
        <v>38</v>
      </c>
    </row>
    <row r="3">
      <c r="A3" s="6" t="inlineStr">
        <is>
          <t xml:space="preserve">HRD-177-26S052587</t>
        </is>
      </c>
      <c r="B3" s="7" t="inlineStr">
        <is>
          <t xml:space="preserve">HRD-177-26S052587</t>
        </is>
      </c>
      <c r="C3" s="7" t="inlineStr">
        <is>
          <t xml:space="preserve">AHL3NVDRX7_1</t>
        </is>
      </c>
      <c r="D3" s="21" t="inlineStr">
        <is>
          <t xml:space="preserve">ATM</t>
        </is>
      </c>
      <c r="E3" s="9" t="inlineStr">
        <is>
          <t xml:space="preserve">NM_000051.4</t>
        </is>
      </c>
      <c r="F3" s="21" t="inlineStr">
        <is>
          <t xml:space="preserve">exon14-20</t>
        </is>
      </c>
      <c r="G3" s="21" t="inlineStr">
        <is>
          <t xml:space="preserve">others</t>
        </is>
      </c>
      <c r="H3" s="25" t="inlineStr">
        <is>
          <t xml:space="preserve">11q22.3</t>
        </is>
      </c>
      <c r="I3" s="11" t="inlineStr">
        <is>
          <t xml:space="preserve">chr11:108127039-108142116</t>
        </is>
      </c>
      <c r="J3" s="4">
        <v>0</v>
      </c>
      <c r="K3" s="2">
        <v>43</v>
      </c>
      <c r="L3" s="4">
        <v>0.7</v>
      </c>
      <c r="M3" s="23" t="inlineStr">
        <is>
          <t xml:space="preserve">CnlrFail;CnlrStdFail;PredictFail;probFail</t>
        </is>
      </c>
      <c r="N3" s="4">
        <v>1.54</v>
      </c>
      <c r="O3" s="4">
        <v>0.91</v>
      </c>
      <c r="P3" s="4">
        <v>0.73</v>
      </c>
      <c r="Q3" s="21" t="inlineStr">
        <is>
          <t xml:space="preserve">-</t>
        </is>
      </c>
      <c r="R3" s="32" t="inlineStr">
        <is>
          <t xml:space="preserve">-</t>
        </is>
      </c>
      <c r="S3" s="11" t="inlineStr">
        <is>
          <t xml:space="preserve">-</t>
        </is>
      </c>
      <c r="T3" s="2">
        <v>0</v>
      </c>
      <c r="U3" s="2">
        <v>15</v>
      </c>
    </row>
    <row r="4">
      <c r="A4" s="6" t="inlineStr">
        <is>
          <t xml:space="preserve">HRD-177-26S052587</t>
        </is>
      </c>
      <c r="B4" s="7" t="inlineStr">
        <is>
          <t xml:space="preserve">HRD-177-26S052587</t>
        </is>
      </c>
      <c r="C4" s="7" t="inlineStr">
        <is>
          <t xml:space="preserve">AHL3NVDRX7_1</t>
        </is>
      </c>
      <c r="D4" s="21" t="inlineStr">
        <is>
          <t xml:space="preserve">ATM</t>
        </is>
      </c>
      <c r="E4" s="9" t="inlineStr">
        <is>
          <t xml:space="preserve">NM_000051.4</t>
        </is>
      </c>
      <c r="F4" s="21" t="inlineStr">
        <is>
          <t xml:space="preserve">exon21-57</t>
        </is>
      </c>
      <c r="G4" s="21" t="inlineStr">
        <is>
          <t xml:space="preserve">others</t>
        </is>
      </c>
      <c r="H4" s="25" t="inlineStr">
        <is>
          <t xml:space="preserve">11q22.3</t>
        </is>
      </c>
      <c r="I4" s="11" t="inlineStr">
        <is>
          <t xml:space="preserve">chr11:108143275-108214064</t>
        </is>
      </c>
      <c r="J4" s="4">
        <v>0</v>
      </c>
      <c r="K4" s="2">
        <v>43</v>
      </c>
      <c r="L4" s="4">
        <v>0.7</v>
      </c>
      <c r="M4" s="23" t="inlineStr">
        <is>
          <t xml:space="preserve">CnlrFail;CnlrStdFail;PredictFail;probFail</t>
        </is>
      </c>
      <c r="N4" s="4">
        <v>1.29</v>
      </c>
      <c r="O4" s="4">
        <v>0.66</v>
      </c>
      <c r="P4" s="4">
        <v>0.47</v>
      </c>
      <c r="Q4" s="21" t="inlineStr">
        <is>
          <t xml:space="preserve">-</t>
        </is>
      </c>
      <c r="R4" s="32" t="inlineStr">
        <is>
          <t xml:space="preserve">-</t>
        </is>
      </c>
      <c r="S4" s="11" t="inlineStr">
        <is>
          <t xml:space="preserve">-</t>
        </is>
      </c>
      <c r="T4" s="2">
        <v>1</v>
      </c>
      <c r="U4" s="2">
        <v>103</v>
      </c>
    </row>
    <row r="5">
      <c r="A5" s="6" t="inlineStr">
        <is>
          <t xml:space="preserve">HRD-177-26S052587</t>
        </is>
      </c>
      <c r="B5" s="7" t="inlineStr">
        <is>
          <t xml:space="preserve">HRD-177-26S052587</t>
        </is>
      </c>
      <c r="C5" s="7" t="inlineStr">
        <is>
          <t xml:space="preserve">AHL3NVDRX7_1</t>
        </is>
      </c>
      <c r="D5" s="21" t="inlineStr">
        <is>
          <t xml:space="preserve">ATM</t>
        </is>
      </c>
      <c r="E5" s="9" t="inlineStr">
        <is>
          <t xml:space="preserve">NM_000051.4</t>
        </is>
      </c>
      <c r="F5" s="21" t="inlineStr">
        <is>
          <t xml:space="preserve">exon58-61</t>
        </is>
      </c>
      <c r="G5" s="21" t="inlineStr">
        <is>
          <t xml:space="preserve">others</t>
        </is>
      </c>
      <c r="H5" s="25" t="inlineStr">
        <is>
          <t xml:space="preserve">11q22.3</t>
        </is>
      </c>
      <c r="I5" s="11" t="inlineStr">
        <is>
          <t xml:space="preserve">chr11:108215088-108233940</t>
        </is>
      </c>
      <c r="J5" s="4">
        <v>0</v>
      </c>
      <c r="K5" s="2">
        <v>43</v>
      </c>
      <c r="L5" s="4">
        <v>0.7</v>
      </c>
      <c r="M5" s="23" t="inlineStr">
        <is>
          <t xml:space="preserve">CnlrFail;CnlrStdFail;PredictFail;probFail</t>
        </is>
      </c>
      <c r="N5" s="4">
        <v>1.64</v>
      </c>
      <c r="O5" s="4">
        <v>1.01</v>
      </c>
      <c r="P5" s="4">
        <v>0.83</v>
      </c>
      <c r="Q5" s="21" t="inlineStr">
        <is>
          <t xml:space="preserve">-</t>
        </is>
      </c>
      <c r="R5" s="32" t="inlineStr">
        <is>
          <t xml:space="preserve">-</t>
        </is>
      </c>
      <c r="S5" s="11" t="inlineStr">
        <is>
          <t xml:space="preserve">-</t>
        </is>
      </c>
      <c r="T5" s="2">
        <v>0</v>
      </c>
      <c r="U5" s="2">
        <v>18</v>
      </c>
    </row>
    <row r="6">
      <c r="A6" s="6" t="inlineStr">
        <is>
          <t xml:space="preserve">HRD-177-26S052587</t>
        </is>
      </c>
      <c r="B6" s="7" t="inlineStr">
        <is>
          <t xml:space="preserve">HRD-177-26S052587</t>
        </is>
      </c>
      <c r="C6" s="7" t="inlineStr">
        <is>
          <t xml:space="preserve">AHL3NVDRX7_1</t>
        </is>
      </c>
      <c r="D6" s="21" t="inlineStr">
        <is>
          <t xml:space="preserve">ATM</t>
        </is>
      </c>
      <c r="E6" s="9" t="inlineStr">
        <is>
          <t xml:space="preserve">NM_000051.4</t>
        </is>
      </c>
      <c r="F6" s="21" t="inlineStr">
        <is>
          <t xml:space="preserve">exon62-63</t>
        </is>
      </c>
      <c r="G6" s="21" t="inlineStr">
        <is>
          <t xml:space="preserve">others</t>
        </is>
      </c>
      <c r="H6" s="25" t="inlineStr">
        <is>
          <t xml:space="preserve">11q22.3</t>
        </is>
      </c>
      <c r="I6" s="11" t="inlineStr">
        <is>
          <t xml:space="preserve">chr11:108235872-108239641</t>
        </is>
      </c>
      <c r="J6" s="4">
        <v>0</v>
      </c>
      <c r="K6" s="2">
        <v>43</v>
      </c>
      <c r="L6" s="4">
        <v>0.7</v>
      </c>
      <c r="M6" s="23" t="inlineStr">
        <is>
          <t xml:space="preserve">CnlrFail;CnlrNumFail;CnlrStdFail;PredictFail;probFail</t>
        </is>
      </c>
      <c r="N6" s="4">
        <v>1.1</v>
      </c>
      <c r="O6" s="4">
        <v>0.47</v>
      </c>
      <c r="P6" s="4">
        <v>0.29</v>
      </c>
      <c r="Q6" s="21" t="inlineStr">
        <is>
          <t xml:space="preserve">-</t>
        </is>
      </c>
      <c r="R6" s="32" t="inlineStr">
        <is>
          <t xml:space="preserve">-</t>
        </is>
      </c>
      <c r="S6" s="11" t="inlineStr">
        <is>
          <t xml:space="preserve">-</t>
        </is>
      </c>
      <c r="T6" s="2">
        <v>0</v>
      </c>
      <c r="U6" s="2">
        <v>5</v>
      </c>
    </row>
    <row r="7">
      <c r="A7" s="6" t="inlineStr">
        <is>
          <t xml:space="preserve">HRD-177-26S052587</t>
        </is>
      </c>
      <c r="B7" s="7" t="inlineStr">
        <is>
          <t xml:space="preserve">HRD-177-26S052587</t>
        </is>
      </c>
      <c r="C7" s="7" t="inlineStr">
        <is>
          <t xml:space="preserve">AHL3NVDRX7_1</t>
        </is>
      </c>
      <c r="D7" s="21" t="inlineStr">
        <is>
          <t xml:space="preserve">BARD1</t>
        </is>
      </c>
      <c r="E7" s="9" t="inlineStr">
        <is>
          <t xml:space="preserve">NM_000465.4</t>
        </is>
      </c>
      <c r="F7" s="21" t="inlineStr">
        <is>
          <t xml:space="preserve">exon2-11</t>
        </is>
      </c>
      <c r="G7" s="21" t="inlineStr">
        <is>
          <t xml:space="preserve">others</t>
        </is>
      </c>
      <c r="H7" s="25" t="inlineStr">
        <is>
          <t xml:space="preserve">2q35</t>
        </is>
      </c>
      <c r="I7" s="11" t="inlineStr">
        <is>
          <t xml:space="preserve">chr2:215590803-215673660</t>
        </is>
      </c>
      <c r="J7" s="4">
        <v>0</v>
      </c>
      <c r="K7" s="2">
        <v>43</v>
      </c>
      <c r="L7" s="4">
        <v>0.7</v>
      </c>
      <c r="M7" s="23" t="inlineStr">
        <is>
          <t xml:space="preserve">BafFail;CnlrFail;CnlrStdFail;PredictFail;probFail</t>
        </is>
      </c>
      <c r="N7" s="4">
        <v>0.94</v>
      </c>
      <c r="O7" s="4">
        <v>0.31</v>
      </c>
      <c r="P7" s="4">
        <v>0.13</v>
      </c>
      <c r="Q7" s="4">
        <v>0.33</v>
      </c>
      <c r="R7" s="4">
        <v>0.17</v>
      </c>
      <c r="S7" s="4">
        <v>0.06</v>
      </c>
      <c r="T7" s="2">
        <v>17</v>
      </c>
      <c r="U7" s="2">
        <v>104</v>
      </c>
    </row>
    <row r="8">
      <c r="A8" s="6" t="inlineStr">
        <is>
          <t xml:space="preserve">HRD-177-26S052587</t>
        </is>
      </c>
      <c r="B8" s="7" t="inlineStr">
        <is>
          <t xml:space="preserve">HRD-177-26S052587</t>
        </is>
      </c>
      <c r="C8" s="7" t="inlineStr">
        <is>
          <t xml:space="preserve">AHL3NVDRX7_1</t>
        </is>
      </c>
      <c r="D8" s="21" t="inlineStr">
        <is>
          <t xml:space="preserve">BRCA1</t>
        </is>
      </c>
      <c r="E8" s="9" t="inlineStr">
        <is>
          <t xml:space="preserve">NM_007294.4</t>
        </is>
      </c>
      <c r="F8" s="21" t="inlineStr">
        <is>
          <t xml:space="preserve">exon13-23</t>
        </is>
      </c>
      <c r="G8" s="21" t="inlineStr">
        <is>
          <t xml:space="preserve">others</t>
        </is>
      </c>
      <c r="H8" s="25" t="inlineStr">
        <is>
          <t xml:space="preserve">17q21.31</t>
        </is>
      </c>
      <c r="I8" s="11" t="inlineStr">
        <is>
          <t xml:space="preserve">chr17:41196462-41228679</t>
        </is>
      </c>
      <c r="J8" s="4">
        <v>0</v>
      </c>
      <c r="K8" s="2">
        <v>43</v>
      </c>
      <c r="L8" s="4">
        <v>0.7</v>
      </c>
      <c r="M8" s="23" t="inlineStr">
        <is>
          <t xml:space="preserve">CnlrFail;CnlrStdFail;PredictFail;probFail</t>
        </is>
      </c>
      <c r="N8" s="4">
        <v>1.04</v>
      </c>
      <c r="O8" s="4">
        <v>0.41</v>
      </c>
      <c r="P8" s="4">
        <v>0.22</v>
      </c>
      <c r="Q8" s="21" t="inlineStr">
        <is>
          <t xml:space="preserve">-</t>
        </is>
      </c>
      <c r="R8" s="32" t="inlineStr">
        <is>
          <t xml:space="preserve">-</t>
        </is>
      </c>
      <c r="S8" s="11" t="inlineStr">
        <is>
          <t xml:space="preserve">-</t>
        </is>
      </c>
      <c r="T8" s="2">
        <v>0</v>
      </c>
      <c r="U8" s="2">
        <v>45</v>
      </c>
    </row>
    <row r="9">
      <c r="A9" s="6" t="inlineStr">
        <is>
          <t xml:space="preserve">HRD-177-26S052587</t>
        </is>
      </c>
      <c r="B9" s="7" t="inlineStr">
        <is>
          <t xml:space="preserve">HRD-177-26S052587</t>
        </is>
      </c>
      <c r="C9" s="7" t="inlineStr">
        <is>
          <t xml:space="preserve">AHL3NVDRX7_1</t>
        </is>
      </c>
      <c r="D9" s="21" t="inlineStr">
        <is>
          <t xml:space="preserve">BRCA1</t>
        </is>
      </c>
      <c r="E9" s="9" t="inlineStr">
        <is>
          <t xml:space="preserve">NM_007294.4</t>
        </is>
      </c>
      <c r="F9" s="21" t="inlineStr">
        <is>
          <t xml:space="preserve">exon10-12</t>
        </is>
      </c>
      <c r="G9" s="21" t="inlineStr">
        <is>
          <t xml:space="preserve">others</t>
        </is>
      </c>
      <c r="H9" s="25" t="inlineStr">
        <is>
          <t xml:space="preserve">17q21.31</t>
        </is>
      </c>
      <c r="I9" s="11" t="inlineStr">
        <is>
          <t xml:space="preserve">chr17:41231497-41246090</t>
        </is>
      </c>
      <c r="J9" s="4">
        <v>0.25</v>
      </c>
      <c r="K9" s="2">
        <v>43</v>
      </c>
      <c r="L9" s="4">
        <v>0.7</v>
      </c>
      <c r="M9" s="23" t="inlineStr">
        <is>
          <t xml:space="preserve">BafFail;CnlrFail;CnlrStdFail;PredictFail;probFail</t>
        </is>
      </c>
      <c r="N9" s="4">
        <v>0.77</v>
      </c>
      <c r="O9" s="4">
        <v>0.14</v>
      </c>
      <c r="P9" s="4">
        <v>0.04</v>
      </c>
      <c r="Q9" s="21" t="inlineStr">
        <is>
          <t xml:space="preserve">-</t>
        </is>
      </c>
      <c r="R9" s="32" t="inlineStr">
        <is>
          <t xml:space="preserve">-</t>
        </is>
      </c>
      <c r="S9" s="11" t="inlineStr">
        <is>
          <t xml:space="preserve">-</t>
        </is>
      </c>
      <c r="T9" s="2">
        <v>0</v>
      </c>
      <c r="U9" s="2">
        <v>40</v>
      </c>
    </row>
    <row r="10">
      <c r="A10" s="6" t="inlineStr">
        <is>
          <t xml:space="preserve">HRD-177-26S052587</t>
        </is>
      </c>
      <c r="B10" s="7" t="inlineStr">
        <is>
          <t xml:space="preserve">HRD-177-26S052587</t>
        </is>
      </c>
      <c r="C10" s="7" t="inlineStr">
        <is>
          <t xml:space="preserve">AHL3NVDRX7_1</t>
        </is>
      </c>
      <c r="D10" s="21" t="inlineStr">
        <is>
          <t xml:space="preserve">BRCA1</t>
        </is>
      </c>
      <c r="E10" s="9" t="inlineStr">
        <is>
          <t xml:space="preserve">NM_007294.4</t>
        </is>
      </c>
      <c r="F10" s="21" t="inlineStr">
        <is>
          <t xml:space="preserve">exon1-10</t>
        </is>
      </c>
      <c r="G10" s="21" t="inlineStr">
        <is>
          <t xml:space="preserve">others</t>
        </is>
      </c>
      <c r="H10" s="25" t="inlineStr">
        <is>
          <t xml:space="preserve">17q21.31</t>
        </is>
      </c>
      <c r="I10" s="11" t="inlineStr">
        <is>
          <t xml:space="preserve">chr17:41246189-41277353</t>
        </is>
      </c>
      <c r="J10" s="4">
        <v>0</v>
      </c>
      <c r="K10" s="2">
        <v>43</v>
      </c>
      <c r="L10" s="4">
        <v>0.7</v>
      </c>
      <c r="M10" s="23" t="inlineStr">
        <is>
          <t xml:space="preserve">CnlrFail;CnlrStdFail;PredictFail;probFail</t>
        </is>
      </c>
      <c r="N10" s="4">
        <v>1.04</v>
      </c>
      <c r="O10" s="4">
        <v>0.41</v>
      </c>
      <c r="P10" s="4">
        <v>0.23</v>
      </c>
      <c r="Q10" s="21" t="inlineStr">
        <is>
          <t xml:space="preserve">-</t>
        </is>
      </c>
      <c r="R10" s="32" t="inlineStr">
        <is>
          <t xml:space="preserve">-</t>
        </is>
      </c>
      <c r="S10" s="11" t="inlineStr">
        <is>
          <t xml:space="preserve">-</t>
        </is>
      </c>
      <c r="T10" s="2">
        <v>0</v>
      </c>
      <c r="U10" s="2">
        <v>36</v>
      </c>
    </row>
    <row r="11">
      <c r="A11" s="6" t="inlineStr">
        <is>
          <t xml:space="preserve">HRD-177-26S052587</t>
        </is>
      </c>
      <c r="B11" s="7" t="inlineStr">
        <is>
          <t xml:space="preserve">HRD-177-26S052587</t>
        </is>
      </c>
      <c r="C11" s="7" t="inlineStr">
        <is>
          <t xml:space="preserve">AHL3NVDRX7_1</t>
        </is>
      </c>
      <c r="D11" s="21" t="inlineStr">
        <is>
          <t xml:space="preserve">BRCA2</t>
        </is>
      </c>
      <c r="E11" s="9" t="inlineStr">
        <is>
          <t xml:space="preserve">NM_000059.4</t>
        </is>
      </c>
      <c r="F11" s="21" t="inlineStr">
        <is>
          <t xml:space="preserve">exon1-27</t>
        </is>
      </c>
      <c r="G11" s="21" t="inlineStr">
        <is>
          <t xml:space="preserve">others</t>
        </is>
      </c>
      <c r="H11" s="25" t="inlineStr">
        <is>
          <t xml:space="preserve">13q13.1</t>
        </is>
      </c>
      <c r="I11" s="11" t="inlineStr">
        <is>
          <t xml:space="preserve">chr13:32880034-32983266</t>
        </is>
      </c>
      <c r="J11" s="4">
        <v>0</v>
      </c>
      <c r="K11" s="2">
        <v>43</v>
      </c>
      <c r="L11" s="4">
        <v>0.7</v>
      </c>
      <c r="M11" s="23" t="inlineStr">
        <is>
          <t xml:space="preserve">BafFail;CnlrFail;PredictFail;probFail</t>
        </is>
      </c>
      <c r="N11" s="4">
        <v>0.89</v>
      </c>
      <c r="O11" s="4">
        <v>0.26</v>
      </c>
      <c r="P11" s="4">
        <v>0.08</v>
      </c>
      <c r="Q11" s="4">
        <v>0.39</v>
      </c>
      <c r="R11" s="4">
        <v>0.11</v>
      </c>
      <c r="S11" s="4">
        <v>0</v>
      </c>
      <c r="T11" s="2">
        <v>59</v>
      </c>
      <c r="U11" s="2">
        <v>207</v>
      </c>
    </row>
    <row r="12">
      <c r="A12" s="6" t="inlineStr">
        <is>
          <t xml:space="preserve">HRD-177-26S052587</t>
        </is>
      </c>
      <c r="B12" s="7" t="inlineStr">
        <is>
          <t xml:space="preserve">HRD-177-26S052587</t>
        </is>
      </c>
      <c r="C12" s="7" t="inlineStr">
        <is>
          <t xml:space="preserve">AHL3NVDRX7_1</t>
        </is>
      </c>
      <c r="D12" s="21" t="inlineStr">
        <is>
          <t xml:space="preserve">BRIP1</t>
        </is>
      </c>
      <c r="E12" s="9" t="inlineStr">
        <is>
          <t xml:space="preserve">NM_032043.3</t>
        </is>
      </c>
      <c r="F12" s="21" t="inlineStr">
        <is>
          <t xml:space="preserve">exon2-20</t>
        </is>
      </c>
      <c r="G12" s="21" t="inlineStr">
        <is>
          <t xml:space="preserve">others</t>
        </is>
      </c>
      <c r="H12" s="25" t="inlineStr">
        <is>
          <t xml:space="preserve">17q23.2</t>
        </is>
      </c>
      <c r="I12" s="11" t="inlineStr">
        <is>
          <t xml:space="preserve">chr17:59757147-59940650</t>
        </is>
      </c>
      <c r="J12" s="4">
        <v>0</v>
      </c>
      <c r="K12" s="2">
        <v>43</v>
      </c>
      <c r="L12" s="4">
        <v>0.7</v>
      </c>
      <c r="M12" s="23" t="inlineStr">
        <is>
          <t xml:space="preserve">BafFail;CnlrFail;CnlrStdFail;PredictFail;probFail</t>
        </is>
      </c>
      <c r="N12" s="4">
        <v>0.85</v>
      </c>
      <c r="O12" s="4">
        <v>0.22</v>
      </c>
      <c r="P12" s="4">
        <v>0.04</v>
      </c>
      <c r="Q12" s="4">
        <v>0.39</v>
      </c>
      <c r="R12" s="4">
        <v>0.11</v>
      </c>
      <c r="S12" s="4">
        <v>0</v>
      </c>
      <c r="T12" s="2">
        <v>59</v>
      </c>
      <c r="U12" s="2">
        <v>124</v>
      </c>
    </row>
    <row r="13">
      <c r="A13" s="6" t="inlineStr">
        <is>
          <t xml:space="preserve">HRD-177-26S052587</t>
        </is>
      </c>
      <c r="B13" s="7" t="inlineStr">
        <is>
          <t xml:space="preserve">HRD-177-26S052587</t>
        </is>
      </c>
      <c r="C13" s="7" t="inlineStr">
        <is>
          <t xml:space="preserve">AHL3NVDRX7_1</t>
        </is>
      </c>
      <c r="D13" s="21" t="inlineStr">
        <is>
          <t xml:space="preserve">CDH1</t>
        </is>
      </c>
      <c r="E13" s="9" t="inlineStr">
        <is>
          <t xml:space="preserve">NM_004360.5</t>
        </is>
      </c>
      <c r="F13" s="21" t="inlineStr">
        <is>
          <t xml:space="preserve">exon3-15</t>
        </is>
      </c>
      <c r="G13" s="21" t="inlineStr">
        <is>
          <t xml:space="preserve">others</t>
        </is>
      </c>
      <c r="H13" s="25" t="inlineStr">
        <is>
          <t xml:space="preserve">16q22.1</t>
        </is>
      </c>
      <c r="I13" s="11" t="inlineStr">
        <is>
          <t xml:space="preserve">chr16:68772679-68867363</t>
        </is>
      </c>
      <c r="J13" s="4">
        <v>0</v>
      </c>
      <c r="K13" s="2">
        <v>43</v>
      </c>
      <c r="L13" s="4">
        <v>0.7</v>
      </c>
      <c r="M13" s="23" t="inlineStr">
        <is>
          <t xml:space="preserve">BafFail;CnlrFail;CnlrStdFail;PredictFail;probFail</t>
        </is>
      </c>
      <c r="N13" s="4">
        <v>0.81</v>
      </c>
      <c r="O13" s="4">
        <v>0.18</v>
      </c>
      <c r="P13" s="4">
        <v>0.01</v>
      </c>
      <c r="Q13" s="4">
        <v>0.38</v>
      </c>
      <c r="R13" s="4">
        <v>0.12</v>
      </c>
      <c r="S13" s="4">
        <v>0.01</v>
      </c>
      <c r="T13" s="2">
        <v>12</v>
      </c>
      <c r="U13" s="2">
        <v>89</v>
      </c>
    </row>
    <row r="14">
      <c r="A14" s="6" t="inlineStr">
        <is>
          <t xml:space="preserve">HRD-177-26S052587</t>
        </is>
      </c>
      <c r="B14" s="7" t="inlineStr">
        <is>
          <t xml:space="preserve">HRD-177-26S052587</t>
        </is>
      </c>
      <c r="C14" s="7" t="inlineStr">
        <is>
          <t xml:space="preserve">AHL3NVDRX7_1</t>
        </is>
      </c>
      <c r="D14" s="21" t="inlineStr">
        <is>
          <t xml:space="preserve">CDK12</t>
        </is>
      </c>
      <c r="E14" s="9" t="inlineStr">
        <is>
          <t xml:space="preserve">NM_016507.4</t>
        </is>
      </c>
      <c r="F14" s="21" t="inlineStr">
        <is>
          <t xml:space="preserve">exon1-14</t>
        </is>
      </c>
      <c r="G14" s="21" t="inlineStr">
        <is>
          <t xml:space="preserve">others</t>
        </is>
      </c>
      <c r="H14" s="25" t="inlineStr">
        <is>
          <t xml:space="preserve">17q12</t>
        </is>
      </c>
      <c r="I14" s="11" t="inlineStr">
        <is>
          <t xml:space="preserve">chr17:37603795-37709994</t>
        </is>
      </c>
      <c r="J14" s="4">
        <v>0</v>
      </c>
      <c r="K14" s="2">
        <v>43</v>
      </c>
      <c r="L14" s="4">
        <v>0.7</v>
      </c>
      <c r="M14" s="23" t="inlineStr">
        <is>
          <t xml:space="preserve">BafFail;CnlrFail;CnlrStdFail;PredictFail;probFail</t>
        </is>
      </c>
      <c r="N14" s="4">
        <v>0.87</v>
      </c>
      <c r="O14" s="4">
        <v>0.24</v>
      </c>
      <c r="P14" s="4">
        <v>0.05</v>
      </c>
      <c r="Q14" s="4">
        <v>0.31</v>
      </c>
      <c r="R14" s="4">
        <v>0.19</v>
      </c>
      <c r="S14" s="4">
        <v>0.07</v>
      </c>
      <c r="T14" s="2">
        <v>42</v>
      </c>
      <c r="U14" s="2">
        <v>97</v>
      </c>
    </row>
    <row r="15">
      <c r="A15" s="6" t="inlineStr">
        <is>
          <t xml:space="preserve">HRD-177-26S052587</t>
        </is>
      </c>
      <c r="B15" s="7" t="inlineStr">
        <is>
          <t xml:space="preserve">HRD-177-26S052587</t>
        </is>
      </c>
      <c r="C15" s="7" t="inlineStr">
        <is>
          <t xml:space="preserve">AHL3NVDRX7_1</t>
        </is>
      </c>
      <c r="D15" s="21" t="inlineStr">
        <is>
          <t xml:space="preserve">CHEK1</t>
        </is>
      </c>
      <c r="E15" s="9" t="inlineStr">
        <is>
          <t xml:space="preserve">NM_001114122.3</t>
        </is>
      </c>
      <c r="F15" s="21" t="inlineStr">
        <is>
          <t xml:space="preserve">exon1-13</t>
        </is>
      </c>
      <c r="G15" s="21" t="inlineStr">
        <is>
          <t xml:space="preserve">others</t>
        </is>
      </c>
      <c r="H15" s="25" t="inlineStr">
        <is>
          <t xml:space="preserve">11q24.2</t>
        </is>
      </c>
      <c r="I15" s="11" t="inlineStr">
        <is>
          <t xml:space="preserve">chr11:125467146-125555403</t>
        </is>
      </c>
      <c r="J15" s="4">
        <v>0.01</v>
      </c>
      <c r="K15" s="2">
        <v>43</v>
      </c>
      <c r="L15" s="4">
        <v>0.7</v>
      </c>
      <c r="M15" s="23" t="inlineStr">
        <is>
          <t xml:space="preserve">CnlrFail;CnlrStdFail;PredictFail;probFail</t>
        </is>
      </c>
      <c r="N15" s="4">
        <v>1</v>
      </c>
      <c r="O15" s="4">
        <v>0.37</v>
      </c>
      <c r="P15" s="4">
        <v>0.18</v>
      </c>
      <c r="Q15" s="4">
        <v>0.48</v>
      </c>
      <c r="R15" s="4">
        <v>0.02</v>
      </c>
      <c r="S15" s="4">
        <v>0.1</v>
      </c>
      <c r="T15" s="2">
        <v>21</v>
      </c>
      <c r="U15" s="2">
        <v>93</v>
      </c>
    </row>
    <row r="16">
      <c r="A16" s="6" t="inlineStr">
        <is>
          <t xml:space="preserve">HRD-177-26S052587</t>
        </is>
      </c>
      <c r="B16" s="7" t="inlineStr">
        <is>
          <t xml:space="preserve">HRD-177-26S052587</t>
        </is>
      </c>
      <c r="C16" s="7" t="inlineStr">
        <is>
          <t xml:space="preserve">AHL3NVDRX7_1</t>
        </is>
      </c>
      <c r="D16" s="21" t="inlineStr">
        <is>
          <t xml:space="preserve">CHEK2</t>
        </is>
      </c>
      <c r="E16" s="9" t="inlineStr">
        <is>
          <t xml:space="preserve">NM_007194.4</t>
        </is>
      </c>
      <c r="F16" s="21" t="inlineStr">
        <is>
          <t xml:space="preserve">exon1-15</t>
        </is>
      </c>
      <c r="G16" s="21" t="inlineStr">
        <is>
          <t xml:space="preserve">others</t>
        </is>
      </c>
      <c r="H16" s="25" t="inlineStr">
        <is>
          <t xml:space="preserve">22q12.1</t>
        </is>
      </c>
      <c r="I16" s="11" t="inlineStr">
        <is>
          <t xml:space="preserve">chr22:29054567-29167234</t>
        </is>
      </c>
      <c r="J16" s="4">
        <v>0</v>
      </c>
      <c r="K16" s="2">
        <v>43</v>
      </c>
      <c r="L16" s="4">
        <v>0.7</v>
      </c>
      <c r="M16" s="23" t="inlineStr">
        <is>
          <t xml:space="preserve">BafFail;CnlrFail;CnlrStdFail;PredictFail;probFail</t>
        </is>
      </c>
      <c r="N16" s="4">
        <v>0.93</v>
      </c>
      <c r="O16" s="4">
        <v>0.3</v>
      </c>
      <c r="P16" s="4">
        <v>0.11</v>
      </c>
      <c r="Q16" s="4">
        <v>0.36</v>
      </c>
      <c r="R16" s="4">
        <v>0.14</v>
      </c>
      <c r="S16" s="4">
        <v>0.03</v>
      </c>
      <c r="T16" s="2">
        <v>16</v>
      </c>
      <c r="U16" s="2">
        <v>77</v>
      </c>
    </row>
    <row r="17">
      <c r="A17" s="6" t="inlineStr">
        <is>
          <t xml:space="preserve">HRD-177-26S052587</t>
        </is>
      </c>
      <c r="B17" s="7" t="inlineStr">
        <is>
          <t xml:space="preserve">HRD-177-26S052587</t>
        </is>
      </c>
      <c r="C17" s="7" t="inlineStr">
        <is>
          <t xml:space="preserve">AHL3NVDRX7_1</t>
        </is>
      </c>
      <c r="D17" s="21" t="inlineStr">
        <is>
          <t xml:space="preserve">FANCA</t>
        </is>
      </c>
      <c r="E17" s="9" t="inlineStr">
        <is>
          <t xml:space="preserve">NM_000135.4</t>
        </is>
      </c>
      <c r="F17" s="21" t="inlineStr">
        <is>
          <t xml:space="preserve">exon3-43</t>
        </is>
      </c>
      <c r="G17" s="21" t="inlineStr">
        <is>
          <t xml:space="preserve">others</t>
        </is>
      </c>
      <c r="H17" s="25" t="inlineStr">
        <is>
          <t xml:space="preserve">16q24.3</t>
        </is>
      </c>
      <c r="I17" s="11" t="inlineStr">
        <is>
          <t xml:space="preserve">chr16:89804322-89881467</t>
        </is>
      </c>
      <c r="J17" s="4">
        <v>0</v>
      </c>
      <c r="K17" s="2">
        <v>43</v>
      </c>
      <c r="L17" s="4">
        <v>0.7</v>
      </c>
      <c r="M17" s="23" t="inlineStr">
        <is>
          <t xml:space="preserve">BafFail;CnlrFail;PredictFail;probFail</t>
        </is>
      </c>
      <c r="N17" s="4">
        <v>0.94</v>
      </c>
      <c r="O17" s="4">
        <v>0.31</v>
      </c>
      <c r="P17" s="4">
        <v>0.13</v>
      </c>
      <c r="Q17" s="4">
        <v>0.37</v>
      </c>
      <c r="R17" s="4">
        <v>0.13</v>
      </c>
      <c r="S17" s="4">
        <v>0.02</v>
      </c>
      <c r="T17" s="2">
        <v>2</v>
      </c>
      <c r="U17" s="2">
        <v>75</v>
      </c>
    </row>
    <row r="18">
      <c r="A18" s="6" t="inlineStr">
        <is>
          <t xml:space="preserve">HRD-177-26S052587</t>
        </is>
      </c>
      <c r="B18" s="7" t="inlineStr">
        <is>
          <t xml:space="preserve">HRD-177-26S052587</t>
        </is>
      </c>
      <c r="C18" s="7" t="inlineStr">
        <is>
          <t xml:space="preserve">AHL3NVDRX7_1</t>
        </is>
      </c>
      <c r="D18" s="21" t="inlineStr">
        <is>
          <t xml:space="preserve">FANCL</t>
        </is>
      </c>
      <c r="E18" s="9" t="inlineStr">
        <is>
          <t xml:space="preserve">NM_018062.4</t>
        </is>
      </c>
      <c r="F18" s="21" t="inlineStr">
        <is>
          <t xml:space="preserve">exon9-14</t>
        </is>
      </c>
      <c r="G18" s="21" t="inlineStr">
        <is>
          <t xml:space="preserve">others</t>
        </is>
      </c>
      <c r="H18" s="25" t="inlineStr">
        <is>
          <t xml:space="preserve">2p16.1</t>
        </is>
      </c>
      <c r="I18" s="11" t="inlineStr">
        <is>
          <t xml:space="preserve">chr2:58377046-58390634</t>
        </is>
      </c>
      <c r="J18" s="4">
        <v>0</v>
      </c>
      <c r="K18" s="2">
        <v>43</v>
      </c>
      <c r="L18" s="4">
        <v>0.7</v>
      </c>
      <c r="M18" s="23" t="inlineStr">
        <is>
          <t xml:space="preserve">CnlrFail;CnlrStdFail;PredictFail;probFail</t>
        </is>
      </c>
      <c r="N18" s="4">
        <v>1.36</v>
      </c>
      <c r="O18" s="4">
        <v>0.73</v>
      </c>
      <c r="P18" s="4">
        <v>0.54</v>
      </c>
      <c r="Q18" s="4">
        <v>0.42</v>
      </c>
      <c r="R18" s="4">
        <v>0.08</v>
      </c>
      <c r="S18" s="4">
        <v>0.04</v>
      </c>
      <c r="T18" s="2">
        <v>8</v>
      </c>
      <c r="U18" s="2">
        <v>16</v>
      </c>
    </row>
    <row r="19">
      <c r="A19" s="6" t="inlineStr">
        <is>
          <t xml:space="preserve">HRD-177-26S052587</t>
        </is>
      </c>
      <c r="B19" s="7" t="inlineStr">
        <is>
          <t xml:space="preserve">HRD-177-26S052587</t>
        </is>
      </c>
      <c r="C19" s="7" t="inlineStr">
        <is>
          <t xml:space="preserve">AHL3NVDRX7_1</t>
        </is>
      </c>
      <c r="D19" s="21" t="inlineStr">
        <is>
          <t xml:space="preserve">FANCL</t>
        </is>
      </c>
      <c r="E19" s="9" t="inlineStr">
        <is>
          <t xml:space="preserve">NM_018062.4</t>
        </is>
      </c>
      <c r="F19" s="21" t="inlineStr">
        <is>
          <t xml:space="preserve">exon1-8</t>
        </is>
      </c>
      <c r="G19" s="21" t="inlineStr">
        <is>
          <t xml:space="preserve">others</t>
        </is>
      </c>
      <c r="H19" s="25" t="inlineStr">
        <is>
          <t xml:space="preserve">2p16.1</t>
        </is>
      </c>
      <c r="I19" s="11" t="inlineStr">
        <is>
          <t xml:space="preserve">chr2:58391555-58478171</t>
        </is>
      </c>
      <c r="J19" s="4">
        <v>0</v>
      </c>
      <c r="K19" s="2">
        <v>43</v>
      </c>
      <c r="L19" s="4">
        <v>0.7</v>
      </c>
      <c r="M19" s="23" t="inlineStr">
        <is>
          <t xml:space="preserve">CnlrFail;CnlrStdFail;PredictFail;probFail</t>
        </is>
      </c>
      <c r="N19" s="4">
        <v>1.1</v>
      </c>
      <c r="O19" s="4">
        <v>0.47</v>
      </c>
      <c r="P19" s="4">
        <v>0.29</v>
      </c>
      <c r="Q19" s="4">
        <v>0.43</v>
      </c>
      <c r="R19" s="4">
        <v>0.07</v>
      </c>
      <c r="S19" s="4">
        <v>0.04</v>
      </c>
      <c r="T19" s="2">
        <v>29</v>
      </c>
      <c r="U19" s="2">
        <v>68</v>
      </c>
    </row>
    <row r="20">
      <c r="A20" s="6" t="inlineStr">
        <is>
          <t xml:space="preserve">HRD-177-26S052587</t>
        </is>
      </c>
      <c r="B20" s="7" t="inlineStr">
        <is>
          <t xml:space="preserve">HRD-177-26S052587</t>
        </is>
      </c>
      <c r="C20" s="7" t="inlineStr">
        <is>
          <t xml:space="preserve">AHL3NVDRX7_1</t>
        </is>
      </c>
      <c r="D20" s="21" t="inlineStr">
        <is>
          <t xml:space="preserve">HDAC2</t>
        </is>
      </c>
      <c r="E20" s="9" t="inlineStr">
        <is>
          <t xml:space="preserve">NM_001527.4</t>
        </is>
      </c>
      <c r="F20" s="21" t="inlineStr">
        <is>
          <t xml:space="preserve">3'UTR</t>
        </is>
      </c>
      <c r="G20" s="21" t="inlineStr">
        <is>
          <t xml:space="preserve">HomoDel</t>
        </is>
      </c>
      <c r="H20" s="25" t="inlineStr">
        <is>
          <t xml:space="preserve">6q21</t>
        </is>
      </c>
      <c r="I20" s="11" t="inlineStr">
        <is>
          <t xml:space="preserve">chr6:114228339-114254799</t>
        </is>
      </c>
      <c r="J20" s="4">
        <v>0.99</v>
      </c>
      <c r="K20" s="2">
        <v>43</v>
      </c>
      <c r="L20" s="4">
        <v>0.7</v>
      </c>
      <c r="M20" s="23" t="inlineStr">
        <is>
          <t xml:space="preserve">BafFail;CnlrStdFail</t>
        </is>
      </c>
      <c r="N20" s="4">
        <v>0.68</v>
      </c>
      <c r="O20" s="4">
        <v>0.05</v>
      </c>
      <c r="P20" s="4">
        <v>0.14</v>
      </c>
      <c r="Q20" s="4">
        <v>0.39</v>
      </c>
      <c r="R20" s="4">
        <v>0.11</v>
      </c>
      <c r="S20" s="4">
        <v>0</v>
      </c>
      <c r="T20" s="2">
        <v>4</v>
      </c>
      <c r="U20" s="2">
        <v>38</v>
      </c>
    </row>
    <row r="21">
      <c r="A21" s="6" t="inlineStr">
        <is>
          <t xml:space="preserve">HRD-177-26S052587</t>
        </is>
      </c>
      <c r="B21" s="7" t="inlineStr">
        <is>
          <t xml:space="preserve">HRD-177-26S052587</t>
        </is>
      </c>
      <c r="C21" s="7" t="inlineStr">
        <is>
          <t xml:space="preserve">AHL3NVDRX7_1</t>
        </is>
      </c>
      <c r="D21" s="21" t="inlineStr">
        <is>
          <t xml:space="preserve">HDAC2</t>
        </is>
      </c>
      <c r="E21" s="9" t="inlineStr">
        <is>
          <t xml:space="preserve">NM_001527.4</t>
        </is>
      </c>
      <c r="F21" s="21" t="inlineStr">
        <is>
          <t xml:space="preserve">exon2-14</t>
        </is>
      </c>
      <c r="G21" s="21" t="inlineStr">
        <is>
          <t xml:space="preserve">others</t>
        </is>
      </c>
      <c r="H21" s="25" t="inlineStr">
        <is>
          <t xml:space="preserve">6q21</t>
        </is>
      </c>
      <c r="I21" s="11" t="inlineStr">
        <is>
          <t xml:space="preserve">chr6:114255663-114281160</t>
        </is>
      </c>
      <c r="J21" s="4">
        <v>0</v>
      </c>
      <c r="K21" s="2">
        <v>43</v>
      </c>
      <c r="L21" s="4">
        <v>0.7</v>
      </c>
      <c r="M21" s="23" t="inlineStr">
        <is>
          <t xml:space="preserve">CnlrFail;CnlrStdFail;PredictFail;probFail</t>
        </is>
      </c>
      <c r="N21" s="4">
        <v>0.96</v>
      </c>
      <c r="O21" s="4">
        <v>0.33</v>
      </c>
      <c r="P21" s="4">
        <v>0.15</v>
      </c>
      <c r="Q21" s="21" t="inlineStr">
        <is>
          <t xml:space="preserve">-</t>
        </is>
      </c>
      <c r="R21" s="32" t="inlineStr">
        <is>
          <t xml:space="preserve">-</t>
        </is>
      </c>
      <c r="S21" s="11" t="inlineStr">
        <is>
          <t xml:space="preserve">-</t>
        </is>
      </c>
      <c r="T21" s="2">
        <v>1</v>
      </c>
      <c r="U21" s="2">
        <v>37</v>
      </c>
    </row>
    <row r="22">
      <c r="A22" s="6" t="inlineStr">
        <is>
          <t xml:space="preserve">HRD-177-26S052587</t>
        </is>
      </c>
      <c r="B22" s="7" t="inlineStr">
        <is>
          <t xml:space="preserve">HRD-177-26S052587</t>
        </is>
      </c>
      <c r="C22" s="7" t="inlineStr">
        <is>
          <t xml:space="preserve">AHL3NVDRX7_1</t>
        </is>
      </c>
      <c r="D22" s="21" t="inlineStr">
        <is>
          <t xml:space="preserve">HDAC2</t>
        </is>
      </c>
      <c r="E22" s="9" t="inlineStr">
        <is>
          <t xml:space="preserve">NM_001527.4</t>
        </is>
      </c>
      <c r="F22" s="21" t="inlineStr">
        <is>
          <t xml:space="preserve">exon1</t>
        </is>
      </c>
      <c r="G22" s="21" t="inlineStr">
        <is>
          <t xml:space="preserve">HomoDel</t>
        </is>
      </c>
      <c r="H22" s="25" t="inlineStr">
        <is>
          <t xml:space="preserve">6q21</t>
        </is>
      </c>
      <c r="I22" s="11" t="inlineStr">
        <is>
          <t xml:space="preserve">chr6:114281627-114320946</t>
        </is>
      </c>
      <c r="J22" s="4">
        <v>0.91</v>
      </c>
      <c r="K22" s="2">
        <v>43</v>
      </c>
      <c r="L22" s="4">
        <v>0.7</v>
      </c>
      <c r="M22" s="23" t="inlineStr">
        <is>
          <t xml:space="preserve">CnlrStdFail</t>
        </is>
      </c>
      <c r="N22" s="4">
        <v>0.72</v>
      </c>
      <c r="O22" s="4">
        <v>0.09</v>
      </c>
      <c r="P22" s="4">
        <v>0.09</v>
      </c>
      <c r="Q22" s="4">
        <v>0.4</v>
      </c>
      <c r="R22" s="4">
        <v>0.1</v>
      </c>
      <c r="S22" s="4">
        <v>0.02</v>
      </c>
      <c r="T22" s="2">
        <v>2</v>
      </c>
      <c r="U22" s="2">
        <v>31</v>
      </c>
    </row>
    <row r="23">
      <c r="A23" s="6" t="inlineStr">
        <is>
          <t xml:space="preserve">HRD-177-26S052587</t>
        </is>
      </c>
      <c r="B23" s="7" t="inlineStr">
        <is>
          <t xml:space="preserve">HRD-177-26S052587</t>
        </is>
      </c>
      <c r="C23" s="7" t="inlineStr">
        <is>
          <t xml:space="preserve">AHL3NVDRX7_1</t>
        </is>
      </c>
      <c r="D23" s="21" t="inlineStr">
        <is>
          <t xml:space="preserve">PALB2</t>
        </is>
      </c>
      <c r="E23" s="9" t="inlineStr">
        <is>
          <t xml:space="preserve">NM_024675.4</t>
        </is>
      </c>
      <c r="F23" s="21" t="inlineStr">
        <is>
          <t xml:space="preserve">exon1-13</t>
        </is>
      </c>
      <c r="G23" s="21" t="inlineStr">
        <is>
          <t xml:space="preserve">others</t>
        </is>
      </c>
      <c r="H23" s="25" t="inlineStr">
        <is>
          <t xml:space="preserve">16p12.2</t>
        </is>
      </c>
      <c r="I23" s="11" t="inlineStr">
        <is>
          <t xml:space="preserve">chr16:23581676-23699433</t>
        </is>
      </c>
      <c r="J23" s="4">
        <v>0</v>
      </c>
      <c r="K23" s="2">
        <v>43</v>
      </c>
      <c r="L23" s="4">
        <v>0.7</v>
      </c>
      <c r="M23" s="23" t="inlineStr">
        <is>
          <t xml:space="preserve">CnlrFail;CnlrStdFail;PredictFail;probFail</t>
        </is>
      </c>
      <c r="N23" s="4">
        <v>0.97</v>
      </c>
      <c r="O23" s="4">
        <v>0.34</v>
      </c>
      <c r="P23" s="4">
        <v>0.15</v>
      </c>
      <c r="Q23" s="4">
        <v>0.48</v>
      </c>
      <c r="R23" s="4">
        <v>0.02</v>
      </c>
      <c r="S23" s="4">
        <v>0.09</v>
      </c>
      <c r="T23" s="2">
        <v>13</v>
      </c>
      <c r="U23" s="2">
        <v>86</v>
      </c>
    </row>
    <row r="24">
      <c r="A24" s="6" t="inlineStr">
        <is>
          <t xml:space="preserve">HRD-177-26S052587</t>
        </is>
      </c>
      <c r="B24" s="7" t="inlineStr">
        <is>
          <t xml:space="preserve">HRD-177-26S052587</t>
        </is>
      </c>
      <c r="C24" s="7" t="inlineStr">
        <is>
          <t xml:space="preserve">AHL3NVDRX7_1</t>
        </is>
      </c>
      <c r="D24" s="21" t="inlineStr">
        <is>
          <t xml:space="preserve">PPP2R2A</t>
        </is>
      </c>
      <c r="E24" s="9" t="inlineStr">
        <is>
          <t xml:space="preserve">NM_002717.4</t>
        </is>
      </c>
      <c r="F24" s="21" t="inlineStr">
        <is>
          <t xml:space="preserve">exon1-10</t>
        </is>
      </c>
      <c r="G24" s="21" t="inlineStr">
        <is>
          <t xml:space="preserve">others</t>
        </is>
      </c>
      <c r="H24" s="25" t="inlineStr">
        <is>
          <t xml:space="preserve">8p21.2</t>
        </is>
      </c>
      <c r="I24" s="11" t="inlineStr">
        <is>
          <t xml:space="preserve">chr8:26120398-26251424</t>
        </is>
      </c>
      <c r="J24" s="4">
        <v>0</v>
      </c>
      <c r="K24" s="2">
        <v>43</v>
      </c>
      <c r="L24" s="4">
        <v>0.7</v>
      </c>
      <c r="M24" s="23" t="inlineStr">
        <is>
          <t xml:space="preserve">BafFail;CnlrStdFail;PredictFail;probFail</t>
        </is>
      </c>
      <c r="N24" s="4">
        <v>0.8</v>
      </c>
      <c r="O24" s="4">
        <v>0.17</v>
      </c>
      <c r="P24" s="4">
        <v>0.02</v>
      </c>
      <c r="Q24" s="4">
        <v>0.38</v>
      </c>
      <c r="R24" s="4">
        <v>0.12</v>
      </c>
      <c r="S24" s="4">
        <v>0.01</v>
      </c>
      <c r="T24" s="2">
        <v>44</v>
      </c>
      <c r="U24" s="2">
        <v>109</v>
      </c>
    </row>
    <row r="25">
      <c r="A25" s="6" t="inlineStr">
        <is>
          <t xml:space="preserve">HRD-177-26S052587</t>
        </is>
      </c>
      <c r="B25" s="7" t="inlineStr">
        <is>
          <t xml:space="preserve">HRD-177-26S052587</t>
        </is>
      </c>
      <c r="C25" s="7" t="inlineStr">
        <is>
          <t xml:space="preserve">AHL3NVDRX7_1</t>
        </is>
      </c>
      <c r="D25" s="21" t="inlineStr">
        <is>
          <t xml:space="preserve">PTEN</t>
        </is>
      </c>
      <c r="E25" s="9" t="inlineStr">
        <is>
          <t xml:space="preserve">NM_000314.8</t>
        </is>
      </c>
      <c r="F25" s="21" t="inlineStr">
        <is>
          <t xml:space="preserve">exon1-9</t>
        </is>
      </c>
      <c r="G25" s="21" t="inlineStr">
        <is>
          <t xml:space="preserve">others</t>
        </is>
      </c>
      <c r="H25" s="25" t="inlineStr">
        <is>
          <t xml:space="preserve">10q23.31</t>
        </is>
      </c>
      <c r="I25" s="11" t="inlineStr">
        <is>
          <t xml:space="preserve">chr10:89579668-89777792</t>
        </is>
      </c>
      <c r="J25" s="4">
        <v>0</v>
      </c>
      <c r="K25" s="2">
        <v>43</v>
      </c>
      <c r="L25" s="4">
        <v>0.7</v>
      </c>
      <c r="M25" s="23" t="inlineStr">
        <is>
          <t xml:space="preserve">BafFail;CnlrStdFail;PredictFail;probFail</t>
        </is>
      </c>
      <c r="N25" s="4">
        <v>0.79</v>
      </c>
      <c r="O25" s="4">
        <v>0.16</v>
      </c>
      <c r="P25" s="4">
        <v>0.02</v>
      </c>
      <c r="Q25" s="4">
        <v>0.39</v>
      </c>
      <c r="R25" s="4">
        <v>0.11</v>
      </c>
      <c r="S25" s="4">
        <v>0</v>
      </c>
      <c r="T25" s="2">
        <v>23</v>
      </c>
      <c r="U25" s="2">
        <v>108</v>
      </c>
    </row>
    <row r="26">
      <c r="A26" s="6" t="inlineStr">
        <is>
          <t xml:space="preserve">HRD-177-26S052587</t>
        </is>
      </c>
      <c r="B26" s="7" t="inlineStr">
        <is>
          <t xml:space="preserve">HRD-177-26S052587</t>
        </is>
      </c>
      <c r="C26" s="7" t="inlineStr">
        <is>
          <t xml:space="preserve">AHL3NVDRX7_1</t>
        </is>
      </c>
      <c r="D26" s="21" t="inlineStr">
        <is>
          <t xml:space="preserve">RAD51B</t>
        </is>
      </c>
      <c r="E26" s="9" t="inlineStr">
        <is>
          <t xml:space="preserve">NM_133509.4</t>
        </is>
      </c>
      <c r="F26" s="21" t="inlineStr">
        <is>
          <t xml:space="preserve">exon2-11</t>
        </is>
      </c>
      <c r="G26" s="21" t="inlineStr">
        <is>
          <t xml:space="preserve">others</t>
        </is>
      </c>
      <c r="H26" s="25" t="inlineStr">
        <is>
          <t xml:space="preserve">14q24.1</t>
        </is>
      </c>
      <c r="I26" s="11" t="inlineStr">
        <is>
          <t xml:space="preserve">chr14:68290281-69062339</t>
        </is>
      </c>
      <c r="J26" s="4">
        <v>0.15</v>
      </c>
      <c r="K26" s="2">
        <v>43</v>
      </c>
      <c r="L26" s="4">
        <v>0.7</v>
      </c>
      <c r="M26" s="23" t="inlineStr">
        <is>
          <t xml:space="preserve">BafFail;CnlrStdFail;PredictFail;probFail</t>
        </is>
      </c>
      <c r="N26" s="4">
        <v>0.76</v>
      </c>
      <c r="O26" s="4">
        <v>0.13</v>
      </c>
      <c r="P26" s="4">
        <v>0.06</v>
      </c>
      <c r="Q26" s="4">
        <v>0.38</v>
      </c>
      <c r="R26" s="4">
        <v>0.12</v>
      </c>
      <c r="S26" s="4">
        <v>0</v>
      </c>
      <c r="T26" s="2">
        <v>43</v>
      </c>
      <c r="U26" s="2">
        <v>97</v>
      </c>
    </row>
    <row r="27">
      <c r="A27" s="6" t="inlineStr">
        <is>
          <t xml:space="preserve">HRD-177-26S052587</t>
        </is>
      </c>
      <c r="B27" s="7" t="inlineStr">
        <is>
          <t xml:space="preserve">HRD-177-26S052587</t>
        </is>
      </c>
      <c r="C27" s="7" t="inlineStr">
        <is>
          <t xml:space="preserve">AHL3NVDRX7_1</t>
        </is>
      </c>
      <c r="D27" s="21" t="inlineStr">
        <is>
          <t xml:space="preserve">RAD51C</t>
        </is>
      </c>
      <c r="E27" s="9" t="inlineStr">
        <is>
          <t xml:space="preserve">NM_058216.3</t>
        </is>
      </c>
      <c r="F27" s="21" t="inlineStr">
        <is>
          <t xml:space="preserve">exon1-9</t>
        </is>
      </c>
      <c r="G27" s="21" t="inlineStr">
        <is>
          <t xml:space="preserve">others</t>
        </is>
      </c>
      <c r="H27" s="25" t="inlineStr">
        <is>
          <t xml:space="preserve">17q22</t>
        </is>
      </c>
      <c r="I27" s="11" t="inlineStr">
        <is>
          <t xml:space="preserve">chr17:56720749-56857294</t>
        </is>
      </c>
      <c r="J27" s="4">
        <v>0</v>
      </c>
      <c r="K27" s="2">
        <v>43</v>
      </c>
      <c r="L27" s="4">
        <v>0.7</v>
      </c>
      <c r="M27" s="23" t="inlineStr">
        <is>
          <t xml:space="preserve">BafFail;CnlrFail;CnlrStdFail;PredictFail;probFail</t>
        </is>
      </c>
      <c r="N27" s="4">
        <v>0.84</v>
      </c>
      <c r="O27" s="4">
        <v>0.21</v>
      </c>
      <c r="P27" s="4">
        <v>0.03</v>
      </c>
      <c r="Q27" s="21" t="inlineStr">
        <is>
          <t xml:space="preserve">-</t>
        </is>
      </c>
      <c r="R27" s="32" t="inlineStr">
        <is>
          <t xml:space="preserve">-</t>
        </is>
      </c>
      <c r="S27" s="11" t="inlineStr">
        <is>
          <t xml:space="preserve">-</t>
        </is>
      </c>
      <c r="T27" s="2">
        <v>0</v>
      </c>
      <c r="U27" s="2">
        <v>79</v>
      </c>
    </row>
    <row r="28">
      <c r="A28" s="6" t="inlineStr">
        <is>
          <t xml:space="preserve">HRD-177-26S052587</t>
        </is>
      </c>
      <c r="B28" s="7" t="inlineStr">
        <is>
          <t xml:space="preserve">HRD-177-26S052587</t>
        </is>
      </c>
      <c r="C28" s="7" t="inlineStr">
        <is>
          <t xml:space="preserve">AHL3NVDRX7_1</t>
        </is>
      </c>
      <c r="D28" s="21" t="inlineStr">
        <is>
          <t xml:space="preserve">RAD51D</t>
        </is>
      </c>
      <c r="E28" s="9" t="inlineStr">
        <is>
          <t xml:space="preserve">NM_002878.4</t>
        </is>
      </c>
      <c r="F28" s="21" t="inlineStr">
        <is>
          <t xml:space="preserve">exon1-7</t>
        </is>
      </c>
      <c r="G28" s="21" t="inlineStr">
        <is>
          <t xml:space="preserve">others</t>
        </is>
      </c>
      <c r="H28" s="25" t="inlineStr">
        <is>
          <t xml:space="preserve">17q12</t>
        </is>
      </c>
      <c r="I28" s="11" t="inlineStr">
        <is>
          <t xml:space="preserve">chr17:33379647-33494207</t>
        </is>
      </c>
      <c r="J28" s="4">
        <v>0.18</v>
      </c>
      <c r="K28" s="2">
        <v>43</v>
      </c>
      <c r="L28" s="4">
        <v>0.7</v>
      </c>
      <c r="M28" s="23" t="inlineStr">
        <is>
          <t xml:space="preserve">BafFail;CnlrStdFail;PredictFail;probFail</t>
        </is>
      </c>
      <c r="N28" s="4">
        <v>0.75</v>
      </c>
      <c r="O28" s="4">
        <v>0.12</v>
      </c>
      <c r="P28" s="4">
        <v>0.07</v>
      </c>
      <c r="Q28" s="4">
        <v>0.38</v>
      </c>
      <c r="R28" s="4">
        <v>0.12</v>
      </c>
      <c r="S28" s="4">
        <v>0.01</v>
      </c>
      <c r="T28" s="2">
        <v>8</v>
      </c>
      <c r="U28" s="2">
        <v>55</v>
      </c>
    </row>
    <row r="29">
      <c r="A29" s="6" t="inlineStr">
        <is>
          <t xml:space="preserve">HRD-177-26S052587</t>
        </is>
      </c>
      <c r="B29" s="7" t="inlineStr">
        <is>
          <t xml:space="preserve">HRD-177-26S052587</t>
        </is>
      </c>
      <c r="C29" s="7" t="inlineStr">
        <is>
          <t xml:space="preserve">AHL3NVDRX7_1</t>
        </is>
      </c>
      <c r="D29" s="21" t="inlineStr">
        <is>
          <t xml:space="preserve">RAD54L</t>
        </is>
      </c>
      <c r="E29" s="9" t="inlineStr">
        <is>
          <t xml:space="preserve">NM_001142548.1</t>
        </is>
      </c>
      <c r="F29" s="21" t="inlineStr">
        <is>
          <t xml:space="preserve">exon1-19</t>
        </is>
      </c>
      <c r="G29" s="21" t="inlineStr">
        <is>
          <t xml:space="preserve">others</t>
        </is>
      </c>
      <c r="H29" s="25" t="inlineStr">
        <is>
          <t xml:space="preserve">1p34.1</t>
        </is>
      </c>
      <c r="I29" s="11" t="inlineStr">
        <is>
          <t xml:space="preserve">chr1:46670280-46792076</t>
        </is>
      </c>
      <c r="J29" s="4">
        <v>0</v>
      </c>
      <c r="K29" s="2">
        <v>43</v>
      </c>
      <c r="L29" s="4">
        <v>0.7</v>
      </c>
      <c r="M29" s="23" t="inlineStr">
        <is>
          <t xml:space="preserve">CnlrFail;CnlrStdFail;PredictFail;probFail</t>
        </is>
      </c>
      <c r="N29" s="4">
        <v>0.92</v>
      </c>
      <c r="O29" s="4">
        <v>0.29</v>
      </c>
      <c r="P29" s="4">
        <v>0.11</v>
      </c>
      <c r="Q29" s="21" t="inlineStr">
        <is>
          <t xml:space="preserve">-</t>
        </is>
      </c>
      <c r="R29" s="32" t="inlineStr">
        <is>
          <t xml:space="preserve">-</t>
        </is>
      </c>
      <c r="S29" s="11" t="inlineStr">
        <is>
          <t xml:space="preserve">-</t>
        </is>
      </c>
      <c r="T29" s="2">
        <v>1</v>
      </c>
      <c r="U29" s="2">
        <v>61</v>
      </c>
    </row>
    <row r="30">
      <c r="A30" s="6" t="inlineStr">
        <is>
          <t xml:space="preserve">HRD-177-26S052587</t>
        </is>
      </c>
      <c r="B30" s="7" t="inlineStr">
        <is>
          <t xml:space="preserve">HRD-177-26S052587</t>
        </is>
      </c>
      <c r="C30" s="7" t="inlineStr">
        <is>
          <t xml:space="preserve">AHL3NVDRX7_1</t>
        </is>
      </c>
      <c r="D30" s="21" t="inlineStr">
        <is>
          <t xml:space="preserve">TP53</t>
        </is>
      </c>
      <c r="E30" s="9" t="inlineStr">
        <is>
          <t xml:space="preserve">NM_000546.6</t>
        </is>
      </c>
      <c r="F30" s="21" t="inlineStr">
        <is>
          <t xml:space="preserve">exon1-11</t>
        </is>
      </c>
      <c r="G30" s="21" t="inlineStr">
        <is>
          <t xml:space="preserve">others</t>
        </is>
      </c>
      <c r="H30" s="25" t="inlineStr">
        <is>
          <t xml:space="preserve">17p13.1</t>
        </is>
      </c>
      <c r="I30" s="11" t="inlineStr">
        <is>
          <t xml:space="preserve">chr17:7542867-7617390</t>
        </is>
      </c>
      <c r="J30" s="4">
        <v>0</v>
      </c>
      <c r="K30" s="2">
        <v>43</v>
      </c>
      <c r="L30" s="4">
        <v>0.7</v>
      </c>
      <c r="M30" s="23" t="inlineStr">
        <is>
          <t xml:space="preserve">BafFail;CnlrFail;CnlrStdFail;PredictFail;probFail</t>
        </is>
      </c>
      <c r="N30" s="4">
        <v>0.99</v>
      </c>
      <c r="O30" s="4">
        <v>0.36</v>
      </c>
      <c r="P30" s="4">
        <v>0.18</v>
      </c>
      <c r="Q30" s="4">
        <v>0.31</v>
      </c>
      <c r="R30" s="4">
        <v>0.19</v>
      </c>
      <c r="S30" s="4">
        <v>0.08</v>
      </c>
      <c r="T30" s="2">
        <v>17</v>
      </c>
      <c r="U30" s="2">
        <v>50</v>
      </c>
    </row>
  </sheetData>
  <autoFilter ref="A1:U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AmpliconStat</vt:lpstr>
      <vt:lpstr>SNVIndel</vt:lpstr>
      <vt:lpstr>SNVIndelDiscard</vt:lpstr>
      <vt:lpstr>HD</vt:lpstr>
      <vt:lpstr>HD_Discard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2026-07-20T22:28:00Z</dcterms:created>
  <dcterms:modified xsi:type="dcterms:W3CDTF">2026-07-20T22:28:00Z</dcterms:modified>
</cp:coreProperties>
</file>