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ummary" sheetId="1" r:id="rId1"/>
    <sheet name="AmpliconStat" sheetId="2" r:id="rId2"/>
    <sheet name="SNVIndel" sheetId="3" r:id="rId3"/>
    <sheet name="SNVIndelDiscard" sheetId="4" r:id="rId4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0.00,,,&quot;G&quot;"/>
    <numFmt numFmtId="1002" formatCode="0"/>
    <numFmt numFmtId="1003" formatCode="0.00%"/>
    <numFmt numFmtId="1004" formatCode="0.00"/>
  </numFmts>
  <fonts>
    <font>
      <sz val="11"/>
      <color theme="1"/>
      <name val="Calibri"/>
      <family val="2"/>
      <scheme val="minor"/>
    </font>
    <font>
      <sz val="11"/>
      <name val="宋体"/>
    </font>
    <font>
      <sz val="11"/>
      <name val="宋体"/>
      <u/>
      <color rgb="000000FF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numFmtId="1001" applyFont="1" fontId="1" applyAlignment="1">
      <alignment horizontal="center" vertical="bottom" textRotation="0" wrapText="0"/>
    </xf>
    <xf xfId="0" numFmtId="1002" applyFont="1" fontId="1" applyAlignment="1">
      <alignment horizontal="center" vertical="bottom" textRotation="0" wrapText="0"/>
    </xf>
    <xf xfId="0" numFmtId="1003" applyFont="1" fontId="1" applyAlignment="1">
      <alignment horizontal="center" vertical="bottom" textRotation="0" wrapText="0"/>
    </xf>
    <xf xfId="0" numFmtId="1004" applyFont="1" fontId="1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applyFont="1" fontId="2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0" applyAlignment="1">
      <alignment horizontal="center" vertical="bottom" textRotation="0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<Relationship Id="rId4" Type="http://schemas.openxmlformats.org/officeDocument/2006/relationships/worksheet" Target="worksheets/sheet4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3.050000" style="7"/>
    <col min="5" max="5" hidden="0" bestFit="0" customWidth="1" width="14.500000" style="8"/>
    <col min="6" max="6" hidden="0" bestFit="0" customWidth="1" width="11.600000" style="9"/>
    <col min="7" max="7" hidden="0" bestFit="0" customWidth="1" width="11.600000" style="9"/>
    <col min="8" max="8" hidden="0" bestFit="0" customWidth="1" width="11.600000" style="9"/>
    <col min="9" max="9" hidden="0" bestFit="0" customWidth="1" width="15.950000" style="10"/>
    <col min="10" max="10" hidden="0" bestFit="0" customWidth="1" width="11.600000" style="9"/>
    <col min="11" max="11" hidden="0" bestFit="0" customWidth="1" width="10.000000" style="11"/>
    <col min="12" max="12" hidden="0" bestFit="0" customWidth="1" width="15.950000" style="10"/>
    <col min="13" max="13" hidden="0" bestFit="0" customWidth="1" width="11.600000" style="9"/>
    <col min="14" max="14" hidden="0" bestFit="0" customWidth="1" width="11.600000" style="9"/>
    <col min="15" max="15" hidden="0" bestFit="0" customWidth="1" width="21.750000" style="12"/>
    <col min="16" max="16" hidden="0" bestFit="0" customWidth="1" width="10.000000" style="11"/>
    <col min="17" max="17" hidden="0" bestFit="0" customWidth="1" width="17.400000" style="13"/>
    <col min="18" max="18" hidden="0" bestFit="0" customWidth="1" width="13.050000" style="7"/>
    <col min="19" max="19" hidden="0" bestFit="0" customWidth="1" width="10.150000" style="14"/>
    <col min="20" max="20" hidden="0" bestFit="0" customWidth="1" width="13.050000" style="7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7" t="inlineStr">
        <is>
          <t xml:space="preserve">CleanData</t>
        </is>
      </c>
      <c r="E1" s="8" t="inlineStr">
        <is>
          <t xml:space="preserve">TotalReads</t>
        </is>
      </c>
      <c r="F1" s="9" t="inlineStr">
        <is>
          <t xml:space="preserve">CleanGC%</t>
        </is>
      </c>
      <c r="G1" s="9" t="inlineStr">
        <is>
          <t xml:space="preserve">CleanQ20</t>
        </is>
      </c>
      <c r="H1" s="9" t="inlineStr">
        <is>
          <t xml:space="preserve">CleanQ30</t>
        </is>
      </c>
      <c r="I1" s="10" t="inlineStr">
        <is>
          <t xml:space="preserve">MappingRate</t>
        </is>
      </c>
      <c r="J1" s="9" t="inlineStr">
        <is>
          <t xml:space="preserve">AmpMatch</t>
        </is>
      </c>
      <c r="K1" s="11" t="inlineStr">
        <is>
          <t xml:space="preserve">Depth</t>
        </is>
      </c>
      <c r="L1" s="10" t="inlineStr">
        <is>
          <t xml:space="preserve">MedianDepth</t>
        </is>
      </c>
      <c r="M1" s="9" t="inlineStr">
        <is>
          <t xml:space="preserve">RawDepth</t>
        </is>
      </c>
      <c r="N1" s="9" t="inlineStr">
        <is>
          <t xml:space="preserve">Coverage</t>
        </is>
      </c>
      <c r="O1" s="12" t="inlineStr">
        <is>
          <t xml:space="preserve">Uniformity(20%)</t>
        </is>
      </c>
      <c r="P1" s="11" t="inlineStr">
        <is>
          <t xml:space="preserve">CV</t>
        </is>
      </c>
      <c r="Q1" s="13" t="inlineStr">
        <is>
          <t xml:space="preserve">Significance</t>
        </is>
      </c>
      <c r="R1" s="7" t="inlineStr">
        <is>
          <t xml:space="preserve">MSI_Ratio</t>
        </is>
      </c>
      <c r="S1" s="14" t="inlineStr">
        <is>
          <t xml:space="preserve">MSI_Num</t>
        </is>
      </c>
      <c r="T1" s="7" t="inlineStr">
        <is>
          <t xml:space="preserve">MSI_State</t>
        </is>
      </c>
    </row>
    <row r="2">
      <c r="A2" s="5" t="inlineStr">
        <is>
          <t xml:space="preserve">BPTM-55-26S075016</t>
        </is>
      </c>
      <c r="B2" s="6" t="inlineStr">
        <is>
          <t xml:space="preserve">BPTM-55-26S075016</t>
        </is>
      </c>
      <c r="C2" s="6" t="inlineStr">
        <is>
          <t xml:space="preserve">AHL3NVDRX7_1</t>
        </is>
      </c>
      <c r="D2" s="1">
        <v>1220000000</v>
      </c>
      <c r="E2" s="2">
        <v>9365068</v>
      </c>
      <c r="F2" s="3">
        <v>0.4142</v>
      </c>
      <c r="G2" s="3">
        <v>0.9752</v>
      </c>
      <c r="H2" s="3">
        <v>0.9331</v>
      </c>
      <c r="I2" s="3">
        <v>0.9977</v>
      </c>
      <c r="J2" s="3">
        <v>0.9296</v>
      </c>
      <c r="K2" s="2">
        <v>5297</v>
      </c>
      <c r="L2" s="2">
        <v>4430</v>
      </c>
      <c r="M2" s="2">
        <v>8041</v>
      </c>
      <c r="N2" s="3">
        <v>1</v>
      </c>
      <c r="O2" s="3">
        <v>0.97</v>
      </c>
      <c r="P2" s="4">
        <v>0.62</v>
      </c>
      <c r="Q2" s="2">
        <v>5</v>
      </c>
      <c r="R2" s="3">
        <v>0.5091</v>
      </c>
      <c r="S2" s="14" t="inlineStr">
        <is>
          <t xml:space="preserve">28/55</t>
        </is>
      </c>
      <c r="T2" s="7" t="inlineStr">
        <is>
          <t xml:space="preserve">MSI</t>
        </is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28.000000" style="15"/>
    <col min="5" max="5" hidden="0" bestFit="0" customWidth="1" width="13.050000" style="7"/>
    <col min="6" max="6" hidden="0" bestFit="0" customWidth="1" width="20.300000" style="16"/>
    <col min="7" max="7" hidden="0" bestFit="0" customWidth="1" width="10.150000" style="14"/>
    <col min="8" max="8" hidden="0" bestFit="0" customWidth="1" width="10.000000" style="11"/>
    <col min="9" max="9" hidden="0" bestFit="0" customWidth="1" width="14.500000" style="8"/>
    <col min="10" max="10" hidden="0" bestFit="0" customWidth="1" width="10.000000" style="11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5" t="inlineStr">
        <is>
          <t xml:space="preserve">Amplicon</t>
        </is>
      </c>
      <c r="E1" s="7" t="inlineStr">
        <is>
          <t xml:space="preserve">raw_Depth</t>
        </is>
      </c>
      <c r="F1" s="16" t="inlineStr">
        <is>
          <t xml:space="preserve">raw_Uniformity</t>
        </is>
      </c>
      <c r="G1" s="14" t="inlineStr">
        <is>
          <t xml:space="preserve">raw_RoT</t>
        </is>
      </c>
      <c r="H1" s="11" t="inlineStr">
        <is>
          <t xml:space="preserve">Depth</t>
        </is>
      </c>
      <c r="I1" s="8" t="inlineStr">
        <is>
          <t xml:space="preserve">Uniformity</t>
        </is>
      </c>
      <c r="J1" s="11" t="inlineStr">
        <is>
          <t xml:space="preserve">RoT</t>
        </is>
      </c>
    </row>
    <row r="2">
      <c r="A2" s="5" t="inlineStr">
        <is>
          <t xml:space="preserve">BPTM-55-26S075016</t>
        </is>
      </c>
      <c r="B2" s="6" t="inlineStr">
        <is>
          <t xml:space="preserve">BPTM-55-26S075016</t>
        </is>
      </c>
      <c r="C2" s="6" t="inlineStr">
        <is>
          <t xml:space="preserve">AHL3NVDRX7_1</t>
        </is>
      </c>
      <c r="D2" s="15" t="inlineStr">
        <is>
          <t xml:space="preserve">W001_EPCAM_E01_01</t>
        </is>
      </c>
      <c r="E2" s="2">
        <v>5541</v>
      </c>
      <c r="F2" s="16" t="inlineStr">
        <is>
          <t xml:space="preserve">+</t>
        </is>
      </c>
      <c r="G2" s="4">
        <v>0.689</v>
      </c>
      <c r="H2" s="2">
        <v>2879</v>
      </c>
      <c r="I2" s="8" t="inlineStr">
        <is>
          <t xml:space="preserve">+</t>
        </is>
      </c>
      <c r="J2" s="4">
        <v>0.543</v>
      </c>
    </row>
    <row r="3">
      <c r="A3" s="5" t="inlineStr">
        <is>
          <t xml:space="preserve">BPTM-55-26S075016</t>
        </is>
      </c>
      <c r="B3" s="6" t="inlineStr">
        <is>
          <t xml:space="preserve">BPTM-55-26S075016</t>
        </is>
      </c>
      <c r="C3" s="6" t="inlineStr">
        <is>
          <t xml:space="preserve">AHL3NVDRX7_1</t>
        </is>
      </c>
      <c r="D3" s="15" t="inlineStr">
        <is>
          <t xml:space="preserve">W002_EPCAM_E02_01</t>
        </is>
      </c>
      <c r="E3" s="2">
        <v>9243</v>
      </c>
      <c r="F3" s="16" t="inlineStr">
        <is>
          <t xml:space="preserve">+</t>
        </is>
      </c>
      <c r="G3" s="4">
        <v>1.149</v>
      </c>
      <c r="H3" s="2">
        <v>6457</v>
      </c>
      <c r="I3" s="8" t="inlineStr">
        <is>
          <t xml:space="preserve">+</t>
        </is>
      </c>
      <c r="J3" s="4">
        <v>1.219</v>
      </c>
    </row>
    <row r="4">
      <c r="A4" s="5" t="inlineStr">
        <is>
          <t xml:space="preserve">BPTM-55-26S075016</t>
        </is>
      </c>
      <c r="B4" s="6" t="inlineStr">
        <is>
          <t xml:space="preserve">BPTM-55-26S075016</t>
        </is>
      </c>
      <c r="C4" s="6" t="inlineStr">
        <is>
          <t xml:space="preserve">AHL3NVDRX7_1</t>
        </is>
      </c>
      <c r="D4" s="15" t="inlineStr">
        <is>
          <t xml:space="preserve">W003_EPCAM_E02_02</t>
        </is>
      </c>
      <c r="E4" s="2">
        <v>2661</v>
      </c>
      <c r="F4" s="16" t="inlineStr">
        <is>
          <t xml:space="preserve">+</t>
        </is>
      </c>
      <c r="G4" s="4">
        <v>0.331</v>
      </c>
      <c r="H4" s="2">
        <v>1874</v>
      </c>
      <c r="I4" s="8" t="inlineStr">
        <is>
          <t xml:space="preserve">+</t>
        </is>
      </c>
      <c r="J4" s="4">
        <v>0.354</v>
      </c>
    </row>
    <row r="5">
      <c r="A5" s="5" t="inlineStr">
        <is>
          <t xml:space="preserve">BPTM-55-26S075016</t>
        </is>
      </c>
      <c r="B5" s="6" t="inlineStr">
        <is>
          <t xml:space="preserve">BPTM-55-26S075016</t>
        </is>
      </c>
      <c r="C5" s="6" t="inlineStr">
        <is>
          <t xml:space="preserve">AHL3NVDRX7_1</t>
        </is>
      </c>
      <c r="D5" s="15" t="inlineStr">
        <is>
          <t xml:space="preserve">W004_EPCAM_E03_01</t>
        </is>
      </c>
      <c r="E5" s="2">
        <v>5338</v>
      </c>
      <c r="F5" s="16" t="inlineStr">
        <is>
          <t xml:space="preserve">+</t>
        </is>
      </c>
      <c r="G5" s="4">
        <v>0.664</v>
      </c>
      <c r="H5" s="2">
        <v>3696</v>
      </c>
      <c r="I5" s="8" t="inlineStr">
        <is>
          <t xml:space="preserve">+</t>
        </is>
      </c>
      <c r="J5" s="4">
        <v>0.698</v>
      </c>
    </row>
    <row r="6">
      <c r="A6" s="5" t="inlineStr">
        <is>
          <t xml:space="preserve">BPTM-55-26S075016</t>
        </is>
      </c>
      <c r="B6" s="6" t="inlineStr">
        <is>
          <t xml:space="preserve">BPTM-55-26S075016</t>
        </is>
      </c>
      <c r="C6" s="6" t="inlineStr">
        <is>
          <t xml:space="preserve">AHL3NVDRX7_1</t>
        </is>
      </c>
      <c r="D6" s="15" t="inlineStr">
        <is>
          <t xml:space="preserve">W005_EPCAM_E03_02</t>
        </is>
      </c>
      <c r="E6" s="2">
        <v>15247</v>
      </c>
      <c r="F6" s="16" t="inlineStr">
        <is>
          <t xml:space="preserve">+</t>
        </is>
      </c>
      <c r="G6" s="4">
        <v>1.896</v>
      </c>
      <c r="H6" s="2">
        <v>9557</v>
      </c>
      <c r="I6" s="8" t="inlineStr">
        <is>
          <t xml:space="preserve">+</t>
        </is>
      </c>
      <c r="J6" s="4">
        <v>1.804</v>
      </c>
    </row>
    <row r="7">
      <c r="A7" s="5" t="inlineStr">
        <is>
          <t xml:space="preserve">BPTM-55-26S075016</t>
        </is>
      </c>
      <c r="B7" s="6" t="inlineStr">
        <is>
          <t xml:space="preserve">BPTM-55-26S075016</t>
        </is>
      </c>
      <c r="C7" s="6" t="inlineStr">
        <is>
          <t xml:space="preserve">AHL3NVDRX7_1</t>
        </is>
      </c>
      <c r="D7" s="15" t="inlineStr">
        <is>
          <t xml:space="preserve">W006_EPCAM_E03_03</t>
        </is>
      </c>
      <c r="E7" s="2">
        <v>6781</v>
      </c>
      <c r="F7" s="16" t="inlineStr">
        <is>
          <t xml:space="preserve">+</t>
        </is>
      </c>
      <c r="G7" s="4">
        <v>0.843</v>
      </c>
      <c r="H7" s="2">
        <v>4379</v>
      </c>
      <c r="I7" s="8" t="inlineStr">
        <is>
          <t xml:space="preserve">+</t>
        </is>
      </c>
      <c r="J7" s="4">
        <v>0.827</v>
      </c>
    </row>
    <row r="8">
      <c r="A8" s="5" t="inlineStr">
        <is>
          <t xml:space="preserve">BPTM-55-26S075016</t>
        </is>
      </c>
      <c r="B8" s="6" t="inlineStr">
        <is>
          <t xml:space="preserve">BPTM-55-26S075016</t>
        </is>
      </c>
      <c r="C8" s="6" t="inlineStr">
        <is>
          <t xml:space="preserve">AHL3NVDRX7_1</t>
        </is>
      </c>
      <c r="D8" s="15" t="inlineStr">
        <is>
          <t xml:space="preserve">W007_EPCAM_E04_01</t>
        </is>
      </c>
      <c r="E8" s="2">
        <v>2512</v>
      </c>
      <c r="F8" s="16" t="inlineStr">
        <is>
          <t xml:space="preserve">+</t>
        </is>
      </c>
      <c r="G8" s="4">
        <v>0.312</v>
      </c>
      <c r="H8" s="2">
        <v>1749</v>
      </c>
      <c r="I8" s="8" t="inlineStr">
        <is>
          <t xml:space="preserve">+</t>
        </is>
      </c>
      <c r="J8" s="4">
        <v>0.33</v>
      </c>
    </row>
    <row r="9">
      <c r="A9" s="5" t="inlineStr">
        <is>
          <t xml:space="preserve">BPTM-55-26S075016</t>
        </is>
      </c>
      <c r="B9" s="6" t="inlineStr">
        <is>
          <t xml:space="preserve">BPTM-55-26S075016</t>
        </is>
      </c>
      <c r="C9" s="6" t="inlineStr">
        <is>
          <t xml:space="preserve">AHL3NVDRX7_1</t>
        </is>
      </c>
      <c r="D9" s="15" t="inlineStr">
        <is>
          <t xml:space="preserve">W008_EPCAM_E05_01</t>
        </is>
      </c>
      <c r="E9" s="2">
        <v>3560</v>
      </c>
      <c r="F9" s="16" t="inlineStr">
        <is>
          <t xml:space="preserve">+</t>
        </is>
      </c>
      <c r="G9" s="4">
        <v>0.443</v>
      </c>
      <c r="H9" s="2">
        <v>2599</v>
      </c>
      <c r="I9" s="8" t="inlineStr">
        <is>
          <t xml:space="preserve">+</t>
        </is>
      </c>
      <c r="J9" s="4">
        <v>0.491</v>
      </c>
    </row>
    <row r="10">
      <c r="A10" s="5" t="inlineStr">
        <is>
          <t xml:space="preserve">BPTM-55-26S075016</t>
        </is>
      </c>
      <c r="B10" s="6" t="inlineStr">
        <is>
          <t xml:space="preserve">BPTM-55-26S075016</t>
        </is>
      </c>
      <c r="C10" s="6" t="inlineStr">
        <is>
          <t xml:space="preserve">AHL3NVDRX7_1</t>
        </is>
      </c>
      <c r="D10" s="15" t="inlineStr">
        <is>
          <t xml:space="preserve">W009_EPCAM_E06_01</t>
        </is>
      </c>
      <c r="E10" s="2">
        <v>2404</v>
      </c>
      <c r="F10" s="16" t="inlineStr">
        <is>
          <t xml:space="preserve">+</t>
        </is>
      </c>
      <c r="G10" s="4">
        <v>0.299</v>
      </c>
      <c r="H10" s="2">
        <v>1742</v>
      </c>
      <c r="I10" s="8" t="inlineStr">
        <is>
          <t xml:space="preserve">+</t>
        </is>
      </c>
      <c r="J10" s="4">
        <v>0.329</v>
      </c>
    </row>
    <row r="11">
      <c r="A11" s="5" t="inlineStr">
        <is>
          <t xml:space="preserve">BPTM-55-26S075016</t>
        </is>
      </c>
      <c r="B11" s="6" t="inlineStr">
        <is>
          <t xml:space="preserve">BPTM-55-26S075016</t>
        </is>
      </c>
      <c r="C11" s="6" t="inlineStr">
        <is>
          <t xml:space="preserve">AHL3NVDRX7_1</t>
        </is>
      </c>
      <c r="D11" s="15" t="inlineStr">
        <is>
          <t xml:space="preserve">W010_EPCAM_E06_02</t>
        </is>
      </c>
      <c r="E11" s="2">
        <v>14299</v>
      </c>
      <c r="F11" s="16" t="inlineStr">
        <is>
          <t xml:space="preserve">+</t>
        </is>
      </c>
      <c r="G11" s="4">
        <v>1.778</v>
      </c>
      <c r="H11" s="2">
        <v>9344</v>
      </c>
      <c r="I11" s="8" t="inlineStr">
        <is>
          <t xml:space="preserve">+</t>
        </is>
      </c>
      <c r="J11" s="4">
        <v>1.764</v>
      </c>
    </row>
    <row r="12">
      <c r="A12" s="5" t="inlineStr">
        <is>
          <t xml:space="preserve">BPTM-55-26S075016</t>
        </is>
      </c>
      <c r="B12" s="6" t="inlineStr">
        <is>
          <t xml:space="preserve">BPTM-55-26S075016</t>
        </is>
      </c>
      <c r="C12" s="6" t="inlineStr">
        <is>
          <t xml:space="preserve">AHL3NVDRX7_1</t>
        </is>
      </c>
      <c r="D12" s="15" t="inlineStr">
        <is>
          <t xml:space="preserve">W011_EPCAM_E07_01</t>
        </is>
      </c>
      <c r="E12" s="2">
        <v>10271</v>
      </c>
      <c r="F12" s="16" t="inlineStr">
        <is>
          <t xml:space="preserve">+</t>
        </is>
      </c>
      <c r="G12" s="4">
        <v>1.277</v>
      </c>
      <c r="H12" s="2">
        <v>6824</v>
      </c>
      <c r="I12" s="8" t="inlineStr">
        <is>
          <t xml:space="preserve">+</t>
        </is>
      </c>
      <c r="J12" s="4">
        <v>1.288</v>
      </c>
    </row>
    <row r="13">
      <c r="A13" s="5" t="inlineStr">
        <is>
          <t xml:space="preserve">BPTM-55-26S075016</t>
        </is>
      </c>
      <c r="B13" s="6" t="inlineStr">
        <is>
          <t xml:space="preserve">BPTM-55-26S075016</t>
        </is>
      </c>
      <c r="C13" s="6" t="inlineStr">
        <is>
          <t xml:space="preserve">AHL3NVDRX7_1</t>
        </is>
      </c>
      <c r="D13" s="15" t="inlineStr">
        <is>
          <t xml:space="preserve">W012_EPCAM_E07_02</t>
        </is>
      </c>
      <c r="E13" s="2">
        <v>9401</v>
      </c>
      <c r="F13" s="16" t="inlineStr">
        <is>
          <t xml:space="preserve">+</t>
        </is>
      </c>
      <c r="G13" s="4">
        <v>1.169</v>
      </c>
      <c r="H13" s="2">
        <v>6305</v>
      </c>
      <c r="I13" s="8" t="inlineStr">
        <is>
          <t xml:space="preserve">+</t>
        </is>
      </c>
      <c r="J13" s="4">
        <v>1.19</v>
      </c>
    </row>
    <row r="14">
      <c r="A14" s="5" t="inlineStr">
        <is>
          <t xml:space="preserve">BPTM-55-26S075016</t>
        </is>
      </c>
      <c r="B14" s="6" t="inlineStr">
        <is>
          <t xml:space="preserve">BPTM-55-26S075016</t>
        </is>
      </c>
      <c r="C14" s="6" t="inlineStr">
        <is>
          <t xml:space="preserve">AHL3NVDRX7_1</t>
        </is>
      </c>
      <c r="D14" s="15" t="inlineStr">
        <is>
          <t xml:space="preserve">W013_EPCAM_E07_03</t>
        </is>
      </c>
      <c r="E14" s="2">
        <v>277</v>
      </c>
      <c r="F14" s="16" t="inlineStr">
        <is>
          <t xml:space="preserve">-</t>
        </is>
      </c>
      <c r="G14" s="4">
        <v>0.034</v>
      </c>
      <c r="H14" s="2">
        <v>203</v>
      </c>
      <c r="I14" s="8" t="inlineStr">
        <is>
          <t xml:space="preserve">-</t>
        </is>
      </c>
      <c r="J14" s="4">
        <v>0.038</v>
      </c>
    </row>
    <row r="15">
      <c r="A15" s="5" t="inlineStr">
        <is>
          <t xml:space="preserve">BPTM-55-26S075016</t>
        </is>
      </c>
      <c r="B15" s="6" t="inlineStr">
        <is>
          <t xml:space="preserve">BPTM-55-26S075016</t>
        </is>
      </c>
      <c r="C15" s="6" t="inlineStr">
        <is>
          <t xml:space="preserve">AHL3NVDRX7_1</t>
        </is>
      </c>
      <c r="D15" s="15" t="inlineStr">
        <is>
          <t xml:space="preserve">W014_EPCAM_I07_01</t>
        </is>
      </c>
      <c r="E15" s="2">
        <v>154</v>
      </c>
      <c r="F15" s="16" t="inlineStr">
        <is>
          <t xml:space="preserve">-</t>
        </is>
      </c>
      <c r="G15" s="4">
        <v>0.019</v>
      </c>
      <c r="H15" s="2">
        <v>107</v>
      </c>
      <c r="I15" s="8" t="inlineStr">
        <is>
          <t xml:space="preserve">-</t>
        </is>
      </c>
      <c r="J15" s="4">
        <v>0.02</v>
      </c>
    </row>
    <row r="16">
      <c r="A16" s="5" t="inlineStr">
        <is>
          <t xml:space="preserve">BPTM-55-26S075016</t>
        </is>
      </c>
      <c r="B16" s="6" t="inlineStr">
        <is>
          <t xml:space="preserve">BPTM-55-26S075016</t>
        </is>
      </c>
      <c r="C16" s="6" t="inlineStr">
        <is>
          <t xml:space="preserve">AHL3NVDRX7_1</t>
        </is>
      </c>
      <c r="D16" s="15" t="inlineStr">
        <is>
          <t xml:space="preserve">W015_EPCAM_I07_02</t>
        </is>
      </c>
      <c r="E16" s="2">
        <v>668</v>
      </c>
      <c r="F16" s="16" t="inlineStr">
        <is>
          <t xml:space="preserve">-</t>
        </is>
      </c>
      <c r="G16" s="4">
        <v>0.083</v>
      </c>
      <c r="H16" s="2">
        <v>462</v>
      </c>
      <c r="I16" s="8" t="inlineStr">
        <is>
          <t xml:space="preserve">-</t>
        </is>
      </c>
      <c r="J16" s="4">
        <v>0.087</v>
      </c>
    </row>
    <row r="17">
      <c r="A17" s="5" t="inlineStr">
        <is>
          <t xml:space="preserve">BPTM-55-26S075016</t>
        </is>
      </c>
      <c r="B17" s="6" t="inlineStr">
        <is>
          <t xml:space="preserve">BPTM-55-26S075016</t>
        </is>
      </c>
      <c r="C17" s="6" t="inlineStr">
        <is>
          <t xml:space="preserve">AHL3NVDRX7_1</t>
        </is>
      </c>
      <c r="D17" s="15" t="inlineStr">
        <is>
          <t xml:space="preserve">W016_EPCAM_I07_03</t>
        </is>
      </c>
      <c r="E17" s="2">
        <v>297</v>
      </c>
      <c r="F17" s="16" t="inlineStr">
        <is>
          <t xml:space="preserve">-</t>
        </is>
      </c>
      <c r="G17" s="4">
        <v>0.037</v>
      </c>
      <c r="H17" s="2">
        <v>201</v>
      </c>
      <c r="I17" s="8" t="inlineStr">
        <is>
          <t xml:space="preserve">-</t>
        </is>
      </c>
      <c r="J17" s="4">
        <v>0.038</v>
      </c>
    </row>
    <row r="18">
      <c r="A18" s="5" t="inlineStr">
        <is>
          <t xml:space="preserve">BPTM-55-26S075016</t>
        </is>
      </c>
      <c r="B18" s="6" t="inlineStr">
        <is>
          <t xml:space="preserve">BPTM-55-26S075016</t>
        </is>
      </c>
      <c r="C18" s="6" t="inlineStr">
        <is>
          <t xml:space="preserve">AHL3NVDRX7_1</t>
        </is>
      </c>
      <c r="D18" s="15" t="inlineStr">
        <is>
          <t xml:space="preserve">W017_EPCAM_I07_04</t>
        </is>
      </c>
      <c r="E18" s="2">
        <v>2708</v>
      </c>
      <c r="F18" s="16" t="inlineStr">
        <is>
          <t xml:space="preserve">+</t>
        </is>
      </c>
      <c r="G18" s="4">
        <v>0.337</v>
      </c>
      <c r="H18" s="2">
        <v>2029</v>
      </c>
      <c r="I18" s="8" t="inlineStr">
        <is>
          <t xml:space="preserve">+</t>
        </is>
      </c>
      <c r="J18" s="4">
        <v>0.383</v>
      </c>
    </row>
    <row r="19">
      <c r="A19" s="5" t="inlineStr">
        <is>
          <t xml:space="preserve">BPTM-55-26S075016</t>
        </is>
      </c>
      <c r="B19" s="6" t="inlineStr">
        <is>
          <t xml:space="preserve">BPTM-55-26S075016</t>
        </is>
      </c>
      <c r="C19" s="6" t="inlineStr">
        <is>
          <t xml:space="preserve">AHL3NVDRX7_1</t>
        </is>
      </c>
      <c r="D19" s="15" t="inlineStr">
        <is>
          <t xml:space="preserve">W018_EPCAM_I07_05</t>
        </is>
      </c>
      <c r="E19" s="2">
        <v>9030</v>
      </c>
      <c r="F19" s="16" t="inlineStr">
        <is>
          <t xml:space="preserve">+</t>
        </is>
      </c>
      <c r="G19" s="4">
        <v>1.123</v>
      </c>
      <c r="H19" s="2">
        <v>6234</v>
      </c>
      <c r="I19" s="8" t="inlineStr">
        <is>
          <t xml:space="preserve">+</t>
        </is>
      </c>
      <c r="J19" s="4">
        <v>1.177</v>
      </c>
    </row>
    <row r="20">
      <c r="A20" s="5" t="inlineStr">
        <is>
          <t xml:space="preserve">BPTM-55-26S075016</t>
        </is>
      </c>
      <c r="B20" s="6" t="inlineStr">
        <is>
          <t xml:space="preserve">BPTM-55-26S075016</t>
        </is>
      </c>
      <c r="C20" s="6" t="inlineStr">
        <is>
          <t xml:space="preserve">AHL3NVDRX7_1</t>
        </is>
      </c>
      <c r="D20" s="15" t="inlineStr">
        <is>
          <t xml:space="preserve">W019_EPCAM_I07_06</t>
        </is>
      </c>
      <c r="E20" s="2">
        <v>83</v>
      </c>
      <c r="F20" s="16" t="inlineStr">
        <is>
          <t xml:space="preserve">-</t>
        </is>
      </c>
      <c r="G20" s="4">
        <v>0.01</v>
      </c>
      <c r="H20" s="2">
        <v>54</v>
      </c>
      <c r="I20" s="8" t="inlineStr">
        <is>
          <t xml:space="preserve">-</t>
        </is>
      </c>
      <c r="J20" s="4">
        <v>0.01</v>
      </c>
    </row>
    <row r="21">
      <c r="A21" s="5" t="inlineStr">
        <is>
          <t xml:space="preserve">BPTM-55-26S075016</t>
        </is>
      </c>
      <c r="B21" s="6" t="inlineStr">
        <is>
          <t xml:space="preserve">BPTM-55-26S075016</t>
        </is>
      </c>
      <c r="C21" s="6" t="inlineStr">
        <is>
          <t xml:space="preserve">AHL3NVDRX7_1</t>
        </is>
      </c>
      <c r="D21" s="15" t="inlineStr">
        <is>
          <t xml:space="preserve">W020_EPCAM_I07_07</t>
        </is>
      </c>
      <c r="E21" s="2">
        <v>285</v>
      </c>
      <c r="F21" s="16" t="inlineStr">
        <is>
          <t xml:space="preserve">-</t>
        </is>
      </c>
      <c r="G21" s="4">
        <v>0.035</v>
      </c>
      <c r="H21" s="2">
        <v>193</v>
      </c>
      <c r="I21" s="8" t="inlineStr">
        <is>
          <t xml:space="preserve">-</t>
        </is>
      </c>
      <c r="J21" s="4">
        <v>0.036</v>
      </c>
    </row>
    <row r="22">
      <c r="A22" s="5" t="inlineStr">
        <is>
          <t xml:space="preserve">BPTM-55-26S075016</t>
        </is>
      </c>
      <c r="B22" s="6" t="inlineStr">
        <is>
          <t xml:space="preserve">BPTM-55-26S075016</t>
        </is>
      </c>
      <c r="C22" s="6" t="inlineStr">
        <is>
          <t xml:space="preserve">AHL3NVDRX7_1</t>
        </is>
      </c>
      <c r="D22" s="15" t="inlineStr">
        <is>
          <t xml:space="preserve">W021_EPCAM_I07_08</t>
        </is>
      </c>
      <c r="E22" s="2">
        <v>119</v>
      </c>
      <c r="F22" s="16" t="inlineStr">
        <is>
          <t xml:space="preserve">-</t>
        </is>
      </c>
      <c r="G22" s="4">
        <v>0.015</v>
      </c>
      <c r="H22" s="2">
        <v>83</v>
      </c>
      <c r="I22" s="8" t="inlineStr">
        <is>
          <t xml:space="preserve">-</t>
        </is>
      </c>
      <c r="J22" s="4">
        <v>0.016</v>
      </c>
    </row>
    <row r="23">
      <c r="A23" s="5" t="inlineStr">
        <is>
          <t xml:space="preserve">BPTM-55-26S075016</t>
        </is>
      </c>
      <c r="B23" s="6" t="inlineStr">
        <is>
          <t xml:space="preserve">BPTM-55-26S075016</t>
        </is>
      </c>
      <c r="C23" s="6" t="inlineStr">
        <is>
          <t xml:space="preserve">AHL3NVDRX7_1</t>
        </is>
      </c>
      <c r="D23" s="15" t="inlineStr">
        <is>
          <t xml:space="preserve">W022_EPCAM_I07_09</t>
        </is>
      </c>
      <c r="E23" s="2">
        <v>607</v>
      </c>
      <c r="F23" s="16" t="inlineStr">
        <is>
          <t xml:space="preserve">-</t>
        </is>
      </c>
      <c r="G23" s="4">
        <v>0.075</v>
      </c>
      <c r="H23" s="2">
        <v>415</v>
      </c>
      <c r="I23" s="8" t="inlineStr">
        <is>
          <t xml:space="preserve">-</t>
        </is>
      </c>
      <c r="J23" s="4">
        <v>0.078</v>
      </c>
    </row>
    <row r="24">
      <c r="A24" s="5" t="inlineStr">
        <is>
          <t xml:space="preserve">BPTM-55-26S075016</t>
        </is>
      </c>
      <c r="B24" s="6" t="inlineStr">
        <is>
          <t xml:space="preserve">BPTM-55-26S075016</t>
        </is>
      </c>
      <c r="C24" s="6" t="inlineStr">
        <is>
          <t xml:space="preserve">AHL3NVDRX7_1</t>
        </is>
      </c>
      <c r="D24" s="15" t="inlineStr">
        <is>
          <t xml:space="preserve">W023_EPCAM_I07_10</t>
        </is>
      </c>
      <c r="E24" s="2">
        <v>1447</v>
      </c>
      <c r="F24" s="16" t="inlineStr">
        <is>
          <t xml:space="preserve">-</t>
        </is>
      </c>
      <c r="G24" s="4">
        <v>0.18</v>
      </c>
      <c r="H24" s="2">
        <v>1078</v>
      </c>
      <c r="I24" s="8" t="inlineStr">
        <is>
          <t xml:space="preserve">+</t>
        </is>
      </c>
      <c r="J24" s="4">
        <v>0.203</v>
      </c>
    </row>
    <row r="25">
      <c r="A25" s="5" t="inlineStr">
        <is>
          <t xml:space="preserve">BPTM-55-26S075016</t>
        </is>
      </c>
      <c r="B25" s="6" t="inlineStr">
        <is>
          <t xml:space="preserve">BPTM-55-26S075016</t>
        </is>
      </c>
      <c r="C25" s="6" t="inlineStr">
        <is>
          <t xml:space="preserve">AHL3NVDRX7_1</t>
        </is>
      </c>
      <c r="D25" s="15" t="inlineStr">
        <is>
          <t xml:space="preserve">W024_EPCAM_E08_01</t>
        </is>
      </c>
      <c r="E25" s="2">
        <v>5401</v>
      </c>
      <c r="F25" s="16" t="inlineStr">
        <is>
          <t xml:space="preserve">+</t>
        </is>
      </c>
      <c r="G25" s="4">
        <v>0.672</v>
      </c>
      <c r="H25" s="2">
        <v>3599</v>
      </c>
      <c r="I25" s="8" t="inlineStr">
        <is>
          <t xml:space="preserve">+</t>
        </is>
      </c>
      <c r="J25" s="4">
        <v>0.679</v>
      </c>
    </row>
    <row r="26">
      <c r="A26" s="5" t="inlineStr">
        <is>
          <t xml:space="preserve">BPTM-55-26S075016</t>
        </is>
      </c>
      <c r="B26" s="6" t="inlineStr">
        <is>
          <t xml:space="preserve">BPTM-55-26S075016</t>
        </is>
      </c>
      <c r="C26" s="6" t="inlineStr">
        <is>
          <t xml:space="preserve">AHL3NVDRX7_1</t>
        </is>
      </c>
      <c r="D26" s="15" t="inlineStr">
        <is>
          <t xml:space="preserve">W025_EPCAM_E08_02</t>
        </is>
      </c>
      <c r="E26" s="2">
        <v>3273</v>
      </c>
      <c r="F26" s="16" t="inlineStr">
        <is>
          <t xml:space="preserve">+</t>
        </is>
      </c>
      <c r="G26" s="4">
        <v>0.407</v>
      </c>
      <c r="H26" s="2">
        <v>2290</v>
      </c>
      <c r="I26" s="8" t="inlineStr">
        <is>
          <t xml:space="preserve">+</t>
        </is>
      </c>
      <c r="J26" s="4">
        <v>0.432</v>
      </c>
    </row>
    <row r="27">
      <c r="A27" s="5" t="inlineStr">
        <is>
          <t xml:space="preserve">BPTM-55-26S075016</t>
        </is>
      </c>
      <c r="B27" s="6" t="inlineStr">
        <is>
          <t xml:space="preserve">BPTM-55-26S075016</t>
        </is>
      </c>
      <c r="C27" s="6" t="inlineStr">
        <is>
          <t xml:space="preserve">AHL3NVDRX7_1</t>
        </is>
      </c>
      <c r="D27" s="15" t="inlineStr">
        <is>
          <t xml:space="preserve">W026_EPCAM_E08_03</t>
        </is>
      </c>
      <c r="E27" s="2">
        <v>3933</v>
      </c>
      <c r="F27" s="16" t="inlineStr">
        <is>
          <t xml:space="preserve">+</t>
        </is>
      </c>
      <c r="G27" s="4">
        <v>0.489</v>
      </c>
      <c r="H27" s="2">
        <v>2840</v>
      </c>
      <c r="I27" s="8" t="inlineStr">
        <is>
          <t xml:space="preserve">+</t>
        </is>
      </c>
      <c r="J27" s="4">
        <v>0.536</v>
      </c>
    </row>
    <row r="28">
      <c r="A28" s="5" t="inlineStr">
        <is>
          <t xml:space="preserve">BPTM-55-26S075016</t>
        </is>
      </c>
      <c r="B28" s="6" t="inlineStr">
        <is>
          <t xml:space="preserve">BPTM-55-26S075016</t>
        </is>
      </c>
      <c r="C28" s="6" t="inlineStr">
        <is>
          <t xml:space="preserve">AHL3NVDRX7_1</t>
        </is>
      </c>
      <c r="D28" s="15" t="inlineStr">
        <is>
          <t xml:space="preserve">W027_EPCAM_I08_01</t>
        </is>
      </c>
      <c r="E28" s="2">
        <v>4850</v>
      </c>
      <c r="F28" s="16" t="inlineStr">
        <is>
          <t xml:space="preserve">+</t>
        </is>
      </c>
      <c r="G28" s="4">
        <v>0.603</v>
      </c>
      <c r="H28" s="2">
        <v>3188</v>
      </c>
      <c r="I28" s="8" t="inlineStr">
        <is>
          <t xml:space="preserve">+</t>
        </is>
      </c>
      <c r="J28" s="4">
        <v>0.602</v>
      </c>
    </row>
    <row r="29">
      <c r="A29" s="5" t="inlineStr">
        <is>
          <t xml:space="preserve">BPTM-55-26S075016</t>
        </is>
      </c>
      <c r="B29" s="6" t="inlineStr">
        <is>
          <t xml:space="preserve">BPTM-55-26S075016</t>
        </is>
      </c>
      <c r="C29" s="6" t="inlineStr">
        <is>
          <t xml:space="preserve">AHL3NVDRX7_1</t>
        </is>
      </c>
      <c r="D29" s="15" t="inlineStr">
        <is>
          <t xml:space="preserve">W028_EPCAM_I08_02</t>
        </is>
      </c>
      <c r="E29" s="2">
        <v>5985</v>
      </c>
      <c r="F29" s="16" t="inlineStr">
        <is>
          <t xml:space="preserve">+</t>
        </is>
      </c>
      <c r="G29" s="4">
        <v>0.744</v>
      </c>
      <c r="H29" s="2">
        <v>4206</v>
      </c>
      <c r="I29" s="8" t="inlineStr">
        <is>
          <t xml:space="preserve">+</t>
        </is>
      </c>
      <c r="J29" s="4">
        <v>0.794</v>
      </c>
    </row>
    <row r="30">
      <c r="A30" s="5" t="inlineStr">
        <is>
          <t xml:space="preserve">BPTM-55-26S075016</t>
        </is>
      </c>
      <c r="B30" s="6" t="inlineStr">
        <is>
          <t xml:space="preserve">BPTM-55-26S075016</t>
        </is>
      </c>
      <c r="C30" s="6" t="inlineStr">
        <is>
          <t xml:space="preserve">AHL3NVDRX7_1</t>
        </is>
      </c>
      <c r="D30" s="15" t="inlineStr">
        <is>
          <t xml:space="preserve">W029_EPCAM_I08_03</t>
        </is>
      </c>
      <c r="E30" s="2">
        <v>2339</v>
      </c>
      <c r="F30" s="16" t="inlineStr">
        <is>
          <t xml:space="preserve">+</t>
        </is>
      </c>
      <c r="G30" s="4">
        <v>0.291</v>
      </c>
      <c r="H30" s="2">
        <v>1744</v>
      </c>
      <c r="I30" s="8" t="inlineStr">
        <is>
          <t xml:space="preserve">+</t>
        </is>
      </c>
      <c r="J30" s="4">
        <v>0.329</v>
      </c>
    </row>
    <row r="31">
      <c r="A31" s="5" t="inlineStr">
        <is>
          <t xml:space="preserve">BPTM-55-26S075016</t>
        </is>
      </c>
      <c r="B31" s="6" t="inlineStr">
        <is>
          <t xml:space="preserve">BPTM-55-26S075016</t>
        </is>
      </c>
      <c r="C31" s="6" t="inlineStr">
        <is>
          <t xml:space="preserve">AHL3NVDRX7_1</t>
        </is>
      </c>
      <c r="D31" s="15" t="inlineStr">
        <is>
          <t xml:space="preserve">W030_EPCAM_I08_04</t>
        </is>
      </c>
      <c r="E31" s="2">
        <v>837</v>
      </c>
      <c r="F31" s="16" t="inlineStr">
        <is>
          <t xml:space="preserve">-</t>
        </is>
      </c>
      <c r="G31" s="4">
        <v>0.104</v>
      </c>
      <c r="H31" s="2">
        <v>613</v>
      </c>
      <c r="I31" s="8" t="inlineStr">
        <is>
          <t xml:space="preserve">-</t>
        </is>
      </c>
      <c r="J31" s="4">
        <v>0.116</v>
      </c>
    </row>
    <row r="32">
      <c r="A32" s="5" t="inlineStr">
        <is>
          <t xml:space="preserve">BPTM-55-26S075016</t>
        </is>
      </c>
      <c r="B32" s="6" t="inlineStr">
        <is>
          <t xml:space="preserve">BPTM-55-26S075016</t>
        </is>
      </c>
      <c r="C32" s="6" t="inlineStr">
        <is>
          <t xml:space="preserve">AHL3NVDRX7_1</t>
        </is>
      </c>
      <c r="D32" s="15" t="inlineStr">
        <is>
          <t xml:space="preserve">W031_EPCAM_E09_01</t>
        </is>
      </c>
      <c r="E32" s="2">
        <v>1748</v>
      </c>
      <c r="F32" s="16" t="inlineStr">
        <is>
          <t xml:space="preserve">+</t>
        </is>
      </c>
      <c r="G32" s="4">
        <v>0.217</v>
      </c>
      <c r="H32" s="2">
        <v>1357</v>
      </c>
      <c r="I32" s="8" t="inlineStr">
        <is>
          <t xml:space="preserve">+</t>
        </is>
      </c>
      <c r="J32" s="4">
        <v>0.256</v>
      </c>
    </row>
    <row r="33">
      <c r="A33" s="5" t="inlineStr">
        <is>
          <t xml:space="preserve">BPTM-55-26S075016</t>
        </is>
      </c>
      <c r="B33" s="6" t="inlineStr">
        <is>
          <t xml:space="preserve">BPTM-55-26S075016</t>
        </is>
      </c>
      <c r="C33" s="6" t="inlineStr">
        <is>
          <t xml:space="preserve">AHL3NVDRX7_1</t>
        </is>
      </c>
      <c r="D33" s="15" t="inlineStr">
        <is>
          <t xml:space="preserve">W032_EPCAM_E09_02</t>
        </is>
      </c>
      <c r="E33" s="2">
        <v>2072</v>
      </c>
      <c r="F33" s="16" t="inlineStr">
        <is>
          <t xml:space="preserve">+</t>
        </is>
      </c>
      <c r="G33" s="4">
        <v>0.258</v>
      </c>
      <c r="H33" s="2">
        <v>1529</v>
      </c>
      <c r="I33" s="8" t="inlineStr">
        <is>
          <t xml:space="preserve">+</t>
        </is>
      </c>
      <c r="J33" s="4">
        <v>0.289</v>
      </c>
    </row>
    <row r="34">
      <c r="A34" s="5" t="inlineStr">
        <is>
          <t xml:space="preserve">BPTM-55-26S075016</t>
        </is>
      </c>
      <c r="B34" s="6" t="inlineStr">
        <is>
          <t xml:space="preserve">BPTM-55-26S075016</t>
        </is>
      </c>
      <c r="C34" s="6" t="inlineStr">
        <is>
          <t xml:space="preserve">AHL3NVDRX7_1</t>
        </is>
      </c>
      <c r="D34" s="15" t="inlineStr">
        <is>
          <t xml:space="preserve">W033_EPCAM_E09_03</t>
        </is>
      </c>
      <c r="E34" s="2">
        <v>1312</v>
      </c>
      <c r="F34" s="16" t="inlineStr">
        <is>
          <t xml:space="preserve">-</t>
        </is>
      </c>
      <c r="G34" s="4">
        <v>0.163</v>
      </c>
      <c r="H34" s="2">
        <v>950</v>
      </c>
      <c r="I34" s="8" t="inlineStr">
        <is>
          <t xml:space="preserve">-</t>
        </is>
      </c>
      <c r="J34" s="4">
        <v>0.179</v>
      </c>
    </row>
    <row r="35">
      <c r="A35" s="5" t="inlineStr">
        <is>
          <t xml:space="preserve">BPTM-55-26S075016</t>
        </is>
      </c>
      <c r="B35" s="6" t="inlineStr">
        <is>
          <t xml:space="preserve">BPTM-55-26S075016</t>
        </is>
      </c>
      <c r="C35" s="6" t="inlineStr">
        <is>
          <t xml:space="preserve">AHL3NVDRX7_1</t>
        </is>
      </c>
      <c r="D35" s="15" t="inlineStr">
        <is>
          <t xml:space="preserve">W034_EPCAM_E09_04</t>
        </is>
      </c>
      <c r="E35" s="2">
        <v>2824</v>
      </c>
      <c r="F35" s="16" t="inlineStr">
        <is>
          <t xml:space="preserve">+</t>
        </is>
      </c>
      <c r="G35" s="4">
        <v>0.351</v>
      </c>
      <c r="H35" s="2">
        <v>1973</v>
      </c>
      <c r="I35" s="8" t="inlineStr">
        <is>
          <t xml:space="preserve">+</t>
        </is>
      </c>
      <c r="J35" s="4">
        <v>0.372</v>
      </c>
    </row>
    <row r="36">
      <c r="A36" s="5" t="inlineStr">
        <is>
          <t xml:space="preserve">BPTM-55-26S075016</t>
        </is>
      </c>
      <c r="B36" s="6" t="inlineStr">
        <is>
          <t xml:space="preserve">BPTM-55-26S075016</t>
        </is>
      </c>
      <c r="C36" s="6" t="inlineStr">
        <is>
          <t xml:space="preserve">AHL3NVDRX7_1</t>
        </is>
      </c>
      <c r="D36" s="15" t="inlineStr">
        <is>
          <t xml:space="preserve">W035_EPCAM_E09_05</t>
        </is>
      </c>
      <c r="E36" s="2">
        <v>4679</v>
      </c>
      <c r="F36" s="16" t="inlineStr">
        <is>
          <t xml:space="preserve">+</t>
        </is>
      </c>
      <c r="G36" s="4">
        <v>0.582</v>
      </c>
      <c r="H36" s="2">
        <v>3393</v>
      </c>
      <c r="I36" s="8" t="inlineStr">
        <is>
          <t xml:space="preserve">+</t>
        </is>
      </c>
      <c r="J36" s="4">
        <v>0.641</v>
      </c>
    </row>
    <row r="37">
      <c r="A37" s="5" t="inlineStr">
        <is>
          <t xml:space="preserve">BPTM-55-26S075016</t>
        </is>
      </c>
      <c r="B37" s="6" t="inlineStr">
        <is>
          <t xml:space="preserve">BPTM-55-26S075016</t>
        </is>
      </c>
      <c r="C37" s="6" t="inlineStr">
        <is>
          <t xml:space="preserve">AHL3NVDRX7_1</t>
        </is>
      </c>
      <c r="D37" s="15" t="inlineStr">
        <is>
          <t xml:space="preserve">W036_EPCAM_E09_06</t>
        </is>
      </c>
      <c r="E37" s="2">
        <v>1620</v>
      </c>
      <c r="F37" s="16" t="inlineStr">
        <is>
          <t xml:space="preserve">+</t>
        </is>
      </c>
      <c r="G37" s="4">
        <v>0.201</v>
      </c>
      <c r="H37" s="2">
        <v>1257</v>
      </c>
      <c r="I37" s="8" t="inlineStr">
        <is>
          <t xml:space="preserve">+</t>
        </is>
      </c>
      <c r="J37" s="4">
        <v>0.237</v>
      </c>
    </row>
    <row r="38">
      <c r="A38" s="5" t="inlineStr">
        <is>
          <t xml:space="preserve">BPTM-55-26S075016</t>
        </is>
      </c>
      <c r="B38" s="6" t="inlineStr">
        <is>
          <t xml:space="preserve">BPTM-55-26S075016</t>
        </is>
      </c>
      <c r="C38" s="6" t="inlineStr">
        <is>
          <t xml:space="preserve">AHL3NVDRX7_1</t>
        </is>
      </c>
      <c r="D38" s="15" t="inlineStr">
        <is>
          <t xml:space="preserve">W037_MSH2_E01_01</t>
        </is>
      </c>
      <c r="E38" s="2">
        <v>7645</v>
      </c>
      <c r="F38" s="16" t="inlineStr">
        <is>
          <t xml:space="preserve">+</t>
        </is>
      </c>
      <c r="G38" s="4">
        <v>0.951</v>
      </c>
      <c r="H38" s="2">
        <v>4482</v>
      </c>
      <c r="I38" s="8" t="inlineStr">
        <is>
          <t xml:space="preserve">+</t>
        </is>
      </c>
      <c r="J38" s="4">
        <v>0.846</v>
      </c>
    </row>
    <row r="39">
      <c r="A39" s="5" t="inlineStr">
        <is>
          <t xml:space="preserve">BPTM-55-26S075016</t>
        </is>
      </c>
      <c r="B39" s="6" t="inlineStr">
        <is>
          <t xml:space="preserve">BPTM-55-26S075016</t>
        </is>
      </c>
      <c r="C39" s="6" t="inlineStr">
        <is>
          <t xml:space="preserve">AHL3NVDRX7_1</t>
        </is>
      </c>
      <c r="D39" s="15" t="inlineStr">
        <is>
          <t xml:space="preserve">W038_MSH2_E01_02</t>
        </is>
      </c>
      <c r="E39" s="2">
        <v>1774</v>
      </c>
      <c r="F39" s="16" t="inlineStr">
        <is>
          <t xml:space="preserve">+</t>
        </is>
      </c>
      <c r="G39" s="4">
        <v>0.221</v>
      </c>
      <c r="H39" s="2">
        <v>1060</v>
      </c>
      <c r="I39" s="8" t="inlineStr">
        <is>
          <t xml:space="preserve">+</t>
        </is>
      </c>
      <c r="J39" s="4">
        <v>0.2</v>
      </c>
    </row>
    <row r="40">
      <c r="A40" s="5" t="inlineStr">
        <is>
          <t xml:space="preserve">BPTM-55-26S075016</t>
        </is>
      </c>
      <c r="B40" s="6" t="inlineStr">
        <is>
          <t xml:space="preserve">BPTM-55-26S075016</t>
        </is>
      </c>
      <c r="C40" s="6" t="inlineStr">
        <is>
          <t xml:space="preserve">AHL3NVDRX7_1</t>
        </is>
      </c>
      <c r="D40" s="15" t="inlineStr">
        <is>
          <t xml:space="preserve">W039_MSH2_E02_01</t>
        </is>
      </c>
      <c r="E40" s="2">
        <v>4892</v>
      </c>
      <c r="F40" s="16" t="inlineStr">
        <is>
          <t xml:space="preserve">+</t>
        </is>
      </c>
      <c r="G40" s="4">
        <v>0.608</v>
      </c>
      <c r="H40" s="2">
        <v>3542</v>
      </c>
      <c r="I40" s="8" t="inlineStr">
        <is>
          <t xml:space="preserve">+</t>
        </is>
      </c>
      <c r="J40" s="4">
        <v>0.669</v>
      </c>
    </row>
    <row r="41">
      <c r="A41" s="5" t="inlineStr">
        <is>
          <t xml:space="preserve">BPTM-55-26S075016</t>
        </is>
      </c>
      <c r="B41" s="6" t="inlineStr">
        <is>
          <t xml:space="preserve">BPTM-55-26S075016</t>
        </is>
      </c>
      <c r="C41" s="6" t="inlineStr">
        <is>
          <t xml:space="preserve">AHL3NVDRX7_1</t>
        </is>
      </c>
      <c r="D41" s="15" t="inlineStr">
        <is>
          <t xml:space="preserve">W040_MSH2_E02_02</t>
        </is>
      </c>
      <c r="E41" s="2">
        <v>4424</v>
      </c>
      <c r="F41" s="16" t="inlineStr">
        <is>
          <t xml:space="preserve">+</t>
        </is>
      </c>
      <c r="G41" s="4">
        <v>0.55</v>
      </c>
      <c r="H41" s="2">
        <v>3062</v>
      </c>
      <c r="I41" s="8" t="inlineStr">
        <is>
          <t xml:space="preserve">+</t>
        </is>
      </c>
      <c r="J41" s="4">
        <v>0.578</v>
      </c>
    </row>
    <row r="42">
      <c r="A42" s="5" t="inlineStr">
        <is>
          <t xml:space="preserve">BPTM-55-26S075016</t>
        </is>
      </c>
      <c r="B42" s="6" t="inlineStr">
        <is>
          <t xml:space="preserve">BPTM-55-26S075016</t>
        </is>
      </c>
      <c r="C42" s="6" t="inlineStr">
        <is>
          <t xml:space="preserve">AHL3NVDRX7_1</t>
        </is>
      </c>
      <c r="D42" s="15" t="inlineStr">
        <is>
          <t xml:space="preserve">W041_MSH2_E02_03</t>
        </is>
      </c>
      <c r="E42" s="2">
        <v>2406</v>
      </c>
      <c r="F42" s="16" t="inlineStr">
        <is>
          <t xml:space="preserve">+</t>
        </is>
      </c>
      <c r="G42" s="4">
        <v>0.299</v>
      </c>
      <c r="H42" s="2">
        <v>1743</v>
      </c>
      <c r="I42" s="8" t="inlineStr">
        <is>
          <t xml:space="preserve">+</t>
        </is>
      </c>
      <c r="J42" s="4">
        <v>0.329</v>
      </c>
    </row>
    <row r="43">
      <c r="A43" s="5" t="inlineStr">
        <is>
          <t xml:space="preserve">BPTM-55-26S075016</t>
        </is>
      </c>
      <c r="B43" s="6" t="inlineStr">
        <is>
          <t xml:space="preserve">BPTM-55-26S075016</t>
        </is>
      </c>
      <c r="C43" s="6" t="inlineStr">
        <is>
          <t xml:space="preserve">AHL3NVDRX7_1</t>
        </is>
      </c>
      <c r="D43" s="15" t="inlineStr">
        <is>
          <t xml:space="preserve">W042_MSH2_E03_01</t>
        </is>
      </c>
      <c r="E43" s="2">
        <v>1532</v>
      </c>
      <c r="F43" s="16" t="inlineStr">
        <is>
          <t xml:space="preserve">-</t>
        </is>
      </c>
      <c r="G43" s="4">
        <v>0.191</v>
      </c>
      <c r="H43" s="2">
        <v>1113</v>
      </c>
      <c r="I43" s="8" t="inlineStr">
        <is>
          <t xml:space="preserve">+</t>
        </is>
      </c>
      <c r="J43" s="4">
        <v>0.21</v>
      </c>
    </row>
    <row r="44">
      <c r="A44" s="5" t="inlineStr">
        <is>
          <t xml:space="preserve">BPTM-55-26S075016</t>
        </is>
      </c>
      <c r="B44" s="6" t="inlineStr">
        <is>
          <t xml:space="preserve">BPTM-55-26S075016</t>
        </is>
      </c>
      <c r="C44" s="6" t="inlineStr">
        <is>
          <t xml:space="preserve">AHL3NVDRX7_1</t>
        </is>
      </c>
      <c r="D44" s="15" t="inlineStr">
        <is>
          <t xml:space="preserve">W043_MSH2_E03_02</t>
        </is>
      </c>
      <c r="E44" s="2">
        <v>10942</v>
      </c>
      <c r="F44" s="16" t="inlineStr">
        <is>
          <t xml:space="preserve">+</t>
        </is>
      </c>
      <c r="G44" s="4">
        <v>1.361</v>
      </c>
      <c r="H44" s="2">
        <v>6635</v>
      </c>
      <c r="I44" s="8" t="inlineStr">
        <is>
          <t xml:space="preserve">+</t>
        </is>
      </c>
      <c r="J44" s="4">
        <v>1.252</v>
      </c>
    </row>
    <row r="45">
      <c r="A45" s="5" t="inlineStr">
        <is>
          <t xml:space="preserve">BPTM-55-26S075016</t>
        </is>
      </c>
      <c r="B45" s="6" t="inlineStr">
        <is>
          <t xml:space="preserve">BPTM-55-26S075016</t>
        </is>
      </c>
      <c r="C45" s="6" t="inlineStr">
        <is>
          <t xml:space="preserve">AHL3NVDRX7_1</t>
        </is>
      </c>
      <c r="D45" s="15" t="inlineStr">
        <is>
          <t xml:space="preserve">W044_MSH2_E03_03</t>
        </is>
      </c>
      <c r="E45" s="2">
        <v>6117</v>
      </c>
      <c r="F45" s="16" t="inlineStr">
        <is>
          <t xml:space="preserve">+</t>
        </is>
      </c>
      <c r="G45" s="4">
        <v>0.761</v>
      </c>
      <c r="H45" s="2">
        <v>3945</v>
      </c>
      <c r="I45" s="8" t="inlineStr">
        <is>
          <t xml:space="preserve">+</t>
        </is>
      </c>
      <c r="J45" s="4">
        <v>0.745</v>
      </c>
    </row>
    <row r="46">
      <c r="A46" s="5" t="inlineStr">
        <is>
          <t xml:space="preserve">BPTM-55-26S075016</t>
        </is>
      </c>
      <c r="B46" s="6" t="inlineStr">
        <is>
          <t xml:space="preserve">BPTM-55-26S075016</t>
        </is>
      </c>
      <c r="C46" s="6" t="inlineStr">
        <is>
          <t xml:space="preserve">AHL3NVDRX7_1</t>
        </is>
      </c>
      <c r="D46" s="15" t="inlineStr">
        <is>
          <t xml:space="preserve">W045_MSH2_E03_04</t>
        </is>
      </c>
      <c r="E46" s="2">
        <v>8519</v>
      </c>
      <c r="F46" s="16" t="inlineStr">
        <is>
          <t xml:space="preserve">+</t>
        </is>
      </c>
      <c r="G46" s="4">
        <v>1.059</v>
      </c>
      <c r="H46" s="2">
        <v>5803</v>
      </c>
      <c r="I46" s="8" t="inlineStr">
        <is>
          <t xml:space="preserve">+</t>
        </is>
      </c>
      <c r="J46" s="4">
        <v>1.095</v>
      </c>
    </row>
    <row r="47">
      <c r="A47" s="5" t="inlineStr">
        <is>
          <t xml:space="preserve">BPTM-55-26S075016</t>
        </is>
      </c>
      <c r="B47" s="6" t="inlineStr">
        <is>
          <t xml:space="preserve">BPTM-55-26S075016</t>
        </is>
      </c>
      <c r="C47" s="6" t="inlineStr">
        <is>
          <t xml:space="preserve">AHL3NVDRX7_1</t>
        </is>
      </c>
      <c r="D47" s="15" t="inlineStr">
        <is>
          <t xml:space="preserve">W046_MSH2_E04_01</t>
        </is>
      </c>
      <c r="E47" s="2">
        <v>4770</v>
      </c>
      <c r="F47" s="16" t="inlineStr">
        <is>
          <t xml:space="preserve">+</t>
        </is>
      </c>
      <c r="G47" s="4">
        <v>0.593</v>
      </c>
      <c r="H47" s="2">
        <v>3333</v>
      </c>
      <c r="I47" s="8" t="inlineStr">
        <is>
          <t xml:space="preserve">+</t>
        </is>
      </c>
      <c r="J47" s="4">
        <v>0.629</v>
      </c>
    </row>
    <row r="48">
      <c r="A48" s="5" t="inlineStr">
        <is>
          <t xml:space="preserve">BPTM-55-26S075016</t>
        </is>
      </c>
      <c r="B48" s="6" t="inlineStr">
        <is>
          <t xml:space="preserve">BPTM-55-26S075016</t>
        </is>
      </c>
      <c r="C48" s="6" t="inlineStr">
        <is>
          <t xml:space="preserve">AHL3NVDRX7_1</t>
        </is>
      </c>
      <c r="D48" s="15" t="inlineStr">
        <is>
          <t xml:space="preserve">W047_MSH2_E04_02</t>
        </is>
      </c>
      <c r="E48" s="2">
        <v>4589</v>
      </c>
      <c r="F48" s="16" t="inlineStr">
        <is>
          <t xml:space="preserve">+</t>
        </is>
      </c>
      <c r="G48" s="4">
        <v>0.571</v>
      </c>
      <c r="H48" s="2">
        <v>3110</v>
      </c>
      <c r="I48" s="8" t="inlineStr">
        <is>
          <t xml:space="preserve">+</t>
        </is>
      </c>
      <c r="J48" s="4">
        <v>0.587</v>
      </c>
    </row>
    <row r="49">
      <c r="A49" s="5" t="inlineStr">
        <is>
          <t xml:space="preserve">BPTM-55-26S075016</t>
        </is>
      </c>
      <c r="B49" s="6" t="inlineStr">
        <is>
          <t xml:space="preserve">BPTM-55-26S075016</t>
        </is>
      </c>
      <c r="C49" s="6" t="inlineStr">
        <is>
          <t xml:space="preserve">AHL3NVDRX7_1</t>
        </is>
      </c>
      <c r="D49" s="15" t="inlineStr">
        <is>
          <t xml:space="preserve">W048_MSH2_E04_03</t>
        </is>
      </c>
      <c r="E49" s="2">
        <v>3075</v>
      </c>
      <c r="F49" s="16" t="inlineStr">
        <is>
          <t xml:space="preserve">+</t>
        </is>
      </c>
      <c r="G49" s="4">
        <v>0.382</v>
      </c>
      <c r="H49" s="2">
        <v>2311</v>
      </c>
      <c r="I49" s="8" t="inlineStr">
        <is>
          <t xml:space="preserve">+</t>
        </is>
      </c>
      <c r="J49" s="4">
        <v>0.436</v>
      </c>
    </row>
    <row r="50">
      <c r="A50" s="5" t="inlineStr">
        <is>
          <t xml:space="preserve">BPTM-55-26S075016</t>
        </is>
      </c>
      <c r="B50" s="6" t="inlineStr">
        <is>
          <t xml:space="preserve">BPTM-55-26S075016</t>
        </is>
      </c>
      <c r="C50" s="6" t="inlineStr">
        <is>
          <t xml:space="preserve">AHL3NVDRX7_1</t>
        </is>
      </c>
      <c r="D50" s="15" t="inlineStr">
        <is>
          <t xml:space="preserve">W049_MSH2_E05_01</t>
        </is>
      </c>
      <c r="E50" s="2">
        <v>7774</v>
      </c>
      <c r="F50" s="16" t="inlineStr">
        <is>
          <t xml:space="preserve">+</t>
        </is>
      </c>
      <c r="G50" s="4">
        <v>0.967</v>
      </c>
      <c r="H50" s="2">
        <v>5446</v>
      </c>
      <c r="I50" s="8" t="inlineStr">
        <is>
          <t xml:space="preserve">+</t>
        </is>
      </c>
      <c r="J50" s="4">
        <v>1.028</v>
      </c>
    </row>
    <row r="51">
      <c r="A51" s="5" t="inlineStr">
        <is>
          <t xml:space="preserve">BPTM-55-26S075016</t>
        </is>
      </c>
      <c r="B51" s="6" t="inlineStr">
        <is>
          <t xml:space="preserve">BPTM-55-26S075016</t>
        </is>
      </c>
      <c r="C51" s="6" t="inlineStr">
        <is>
          <t xml:space="preserve">AHL3NVDRX7_1</t>
        </is>
      </c>
      <c r="D51" s="15" t="inlineStr">
        <is>
          <t xml:space="preserve">W050_MSH2_E05_02</t>
        </is>
      </c>
      <c r="E51" s="2">
        <v>6690</v>
      </c>
      <c r="F51" s="16" t="inlineStr">
        <is>
          <t xml:space="preserve">+</t>
        </is>
      </c>
      <c r="G51" s="4">
        <v>0.832</v>
      </c>
      <c r="H51" s="2">
        <v>5495</v>
      </c>
      <c r="I51" s="8" t="inlineStr">
        <is>
          <t xml:space="preserve">+</t>
        </is>
      </c>
      <c r="J51" s="4">
        <v>1.037</v>
      </c>
    </row>
    <row r="52">
      <c r="A52" s="5" t="inlineStr">
        <is>
          <t xml:space="preserve">BPTM-55-26S075016</t>
        </is>
      </c>
      <c r="B52" s="6" t="inlineStr">
        <is>
          <t xml:space="preserve">BPTM-55-26S075016</t>
        </is>
      </c>
      <c r="C52" s="6" t="inlineStr">
        <is>
          <t xml:space="preserve">AHL3NVDRX7_1</t>
        </is>
      </c>
      <c r="D52" s="15" t="inlineStr">
        <is>
          <t xml:space="preserve">W051_MSH2_E06_01</t>
        </is>
      </c>
      <c r="E52" s="2">
        <v>12127</v>
      </c>
      <c r="F52" s="16" t="inlineStr">
        <is>
          <t xml:space="preserve">+</t>
        </is>
      </c>
      <c r="G52" s="4">
        <v>1.508</v>
      </c>
      <c r="H52" s="2">
        <v>8241</v>
      </c>
      <c r="I52" s="8" t="inlineStr">
        <is>
          <t xml:space="preserve">+</t>
        </is>
      </c>
      <c r="J52" s="4">
        <v>1.556</v>
      </c>
    </row>
    <row r="53">
      <c r="A53" s="5" t="inlineStr">
        <is>
          <t xml:space="preserve">BPTM-55-26S075016</t>
        </is>
      </c>
      <c r="B53" s="6" t="inlineStr">
        <is>
          <t xml:space="preserve">BPTM-55-26S075016</t>
        </is>
      </c>
      <c r="C53" s="6" t="inlineStr">
        <is>
          <t xml:space="preserve">AHL3NVDRX7_1</t>
        </is>
      </c>
      <c r="D53" s="15" t="inlineStr">
        <is>
          <t xml:space="preserve">W052_MSH2_E06_02</t>
        </is>
      </c>
      <c r="E53" s="2">
        <v>8592</v>
      </c>
      <c r="F53" s="16" t="inlineStr">
        <is>
          <t xml:space="preserve">+</t>
        </is>
      </c>
      <c r="G53" s="4">
        <v>1.068</v>
      </c>
      <c r="H53" s="2">
        <v>5966</v>
      </c>
      <c r="I53" s="8" t="inlineStr">
        <is>
          <t xml:space="preserve">+</t>
        </is>
      </c>
      <c r="J53" s="4">
        <v>1.126</v>
      </c>
    </row>
    <row r="54">
      <c r="A54" s="5" t="inlineStr">
        <is>
          <t xml:space="preserve">BPTM-55-26S075016</t>
        </is>
      </c>
      <c r="B54" s="6" t="inlineStr">
        <is>
          <t xml:space="preserve">BPTM-55-26S075016</t>
        </is>
      </c>
      <c r="C54" s="6" t="inlineStr">
        <is>
          <t xml:space="preserve">AHL3NVDRX7_1</t>
        </is>
      </c>
      <c r="D54" s="15" t="inlineStr">
        <is>
          <t xml:space="preserve">W053_MSH2_E07_01</t>
        </is>
      </c>
      <c r="E54" s="2">
        <v>2922</v>
      </c>
      <c r="F54" s="16" t="inlineStr">
        <is>
          <t xml:space="preserve">+</t>
        </is>
      </c>
      <c r="G54" s="4">
        <v>0.363</v>
      </c>
      <c r="H54" s="2">
        <v>2149</v>
      </c>
      <c r="I54" s="8" t="inlineStr">
        <is>
          <t xml:space="preserve">+</t>
        </is>
      </c>
      <c r="J54" s="4">
        <v>0.406</v>
      </c>
    </row>
    <row r="55">
      <c r="A55" s="5" t="inlineStr">
        <is>
          <t xml:space="preserve">BPTM-55-26S075016</t>
        </is>
      </c>
      <c r="B55" s="6" t="inlineStr">
        <is>
          <t xml:space="preserve">BPTM-55-26S075016</t>
        </is>
      </c>
      <c r="C55" s="6" t="inlineStr">
        <is>
          <t xml:space="preserve">AHL3NVDRX7_1</t>
        </is>
      </c>
      <c r="D55" s="15" t="inlineStr">
        <is>
          <t xml:space="preserve">W054_MSH2_E07_02</t>
        </is>
      </c>
      <c r="E55" s="2">
        <v>5667</v>
      </c>
      <c r="F55" s="16" t="inlineStr">
        <is>
          <t xml:space="preserve">+</t>
        </is>
      </c>
      <c r="G55" s="4">
        <v>0.705</v>
      </c>
      <c r="H55" s="2">
        <v>3893</v>
      </c>
      <c r="I55" s="8" t="inlineStr">
        <is>
          <t xml:space="preserve">+</t>
        </is>
      </c>
      <c r="J55" s="4">
        <v>0.735</v>
      </c>
    </row>
    <row r="56">
      <c r="A56" s="5" t="inlineStr">
        <is>
          <t xml:space="preserve">BPTM-55-26S075016</t>
        </is>
      </c>
      <c r="B56" s="6" t="inlineStr">
        <is>
          <t xml:space="preserve">BPTM-55-26S075016</t>
        </is>
      </c>
      <c r="C56" s="6" t="inlineStr">
        <is>
          <t xml:space="preserve">AHL3NVDRX7_1</t>
        </is>
      </c>
      <c r="D56" s="15" t="inlineStr">
        <is>
          <t xml:space="preserve">W055_MSH2_E07_03</t>
        </is>
      </c>
      <c r="E56" s="2">
        <v>8837</v>
      </c>
      <c r="F56" s="16" t="inlineStr">
        <is>
          <t xml:space="preserve">+</t>
        </is>
      </c>
      <c r="G56" s="4">
        <v>1.099</v>
      </c>
      <c r="H56" s="2">
        <v>6025</v>
      </c>
      <c r="I56" s="8" t="inlineStr">
        <is>
          <t xml:space="preserve">+</t>
        </is>
      </c>
      <c r="J56" s="4">
        <v>1.137</v>
      </c>
    </row>
    <row r="57">
      <c r="A57" s="5" t="inlineStr">
        <is>
          <t xml:space="preserve">BPTM-55-26S075016</t>
        </is>
      </c>
      <c r="B57" s="6" t="inlineStr">
        <is>
          <t xml:space="preserve">BPTM-55-26S075016</t>
        </is>
      </c>
      <c r="C57" s="6" t="inlineStr">
        <is>
          <t xml:space="preserve">AHL3NVDRX7_1</t>
        </is>
      </c>
      <c r="D57" s="15" t="inlineStr">
        <is>
          <t xml:space="preserve">W056_MSH2_E08_01</t>
        </is>
      </c>
      <c r="E57" s="2">
        <v>5483</v>
      </c>
      <c r="F57" s="16" t="inlineStr">
        <is>
          <t xml:space="preserve">+</t>
        </is>
      </c>
      <c r="G57" s="4">
        <v>0.682</v>
      </c>
      <c r="H57" s="2">
        <v>3905</v>
      </c>
      <c r="I57" s="8" t="inlineStr">
        <is>
          <t xml:space="preserve">+</t>
        </is>
      </c>
      <c r="J57" s="4">
        <v>0.737</v>
      </c>
    </row>
    <row r="58">
      <c r="A58" s="5" t="inlineStr">
        <is>
          <t xml:space="preserve">BPTM-55-26S075016</t>
        </is>
      </c>
      <c r="B58" s="6" t="inlineStr">
        <is>
          <t xml:space="preserve">BPTM-55-26S075016</t>
        </is>
      </c>
      <c r="C58" s="6" t="inlineStr">
        <is>
          <t xml:space="preserve">AHL3NVDRX7_1</t>
        </is>
      </c>
      <c r="D58" s="15" t="inlineStr">
        <is>
          <t xml:space="preserve">W057_MSH2_E08_02</t>
        </is>
      </c>
      <c r="E58" s="2">
        <v>7402</v>
      </c>
      <c r="F58" s="16" t="inlineStr">
        <is>
          <t xml:space="preserve">+</t>
        </is>
      </c>
      <c r="G58" s="4">
        <v>0.92</v>
      </c>
      <c r="H58" s="2">
        <v>5174</v>
      </c>
      <c r="I58" s="8" t="inlineStr">
        <is>
          <t xml:space="preserve">+</t>
        </is>
      </c>
      <c r="J58" s="4">
        <v>0.977</v>
      </c>
    </row>
    <row r="59">
      <c r="A59" s="5" t="inlineStr">
        <is>
          <t xml:space="preserve">BPTM-55-26S075016</t>
        </is>
      </c>
      <c r="B59" s="6" t="inlineStr">
        <is>
          <t xml:space="preserve">BPTM-55-26S075016</t>
        </is>
      </c>
      <c r="C59" s="6" t="inlineStr">
        <is>
          <t xml:space="preserve">AHL3NVDRX7_1</t>
        </is>
      </c>
      <c r="D59" s="15" t="inlineStr">
        <is>
          <t xml:space="preserve">W058_MSH2_E09_01</t>
        </is>
      </c>
      <c r="E59" s="2">
        <v>6589</v>
      </c>
      <c r="F59" s="16" t="inlineStr">
        <is>
          <t xml:space="preserve">+</t>
        </is>
      </c>
      <c r="G59" s="4">
        <v>0.819</v>
      </c>
      <c r="H59" s="2">
        <v>4657</v>
      </c>
      <c r="I59" s="8" t="inlineStr">
        <is>
          <t xml:space="preserve">+</t>
        </is>
      </c>
      <c r="J59" s="4">
        <v>0.879</v>
      </c>
    </row>
    <row r="60">
      <c r="A60" s="5" t="inlineStr">
        <is>
          <t xml:space="preserve">BPTM-55-26S075016</t>
        </is>
      </c>
      <c r="B60" s="6" t="inlineStr">
        <is>
          <t xml:space="preserve">BPTM-55-26S075016</t>
        </is>
      </c>
      <c r="C60" s="6" t="inlineStr">
        <is>
          <t xml:space="preserve">AHL3NVDRX7_1</t>
        </is>
      </c>
      <c r="D60" s="15" t="inlineStr">
        <is>
          <t xml:space="preserve">W059_MSH2_E09_02</t>
        </is>
      </c>
      <c r="E60" s="2">
        <v>4780</v>
      </c>
      <c r="F60" s="16" t="inlineStr">
        <is>
          <t xml:space="preserve">+</t>
        </is>
      </c>
      <c r="G60" s="4">
        <v>0.594</v>
      </c>
      <c r="H60" s="2">
        <v>3378</v>
      </c>
      <c r="I60" s="8" t="inlineStr">
        <is>
          <t xml:space="preserve">+</t>
        </is>
      </c>
      <c r="J60" s="4">
        <v>0.638</v>
      </c>
    </row>
    <row r="61">
      <c r="A61" s="5" t="inlineStr">
        <is>
          <t xml:space="preserve">BPTM-55-26S075016</t>
        </is>
      </c>
      <c r="B61" s="6" t="inlineStr">
        <is>
          <t xml:space="preserve">BPTM-55-26S075016</t>
        </is>
      </c>
      <c r="C61" s="6" t="inlineStr">
        <is>
          <t xml:space="preserve">AHL3NVDRX7_1</t>
        </is>
      </c>
      <c r="D61" s="15" t="inlineStr">
        <is>
          <t xml:space="preserve">W060_MSH2_E10_01</t>
        </is>
      </c>
      <c r="E61" s="2">
        <v>3684</v>
      </c>
      <c r="F61" s="16" t="inlineStr">
        <is>
          <t xml:space="preserve">+</t>
        </is>
      </c>
      <c r="G61" s="4">
        <v>0.458</v>
      </c>
      <c r="H61" s="2">
        <v>2646</v>
      </c>
      <c r="I61" s="8" t="inlineStr">
        <is>
          <t xml:space="preserve">+</t>
        </is>
      </c>
      <c r="J61" s="4">
        <v>0.499</v>
      </c>
    </row>
    <row r="62">
      <c r="A62" s="5" t="inlineStr">
        <is>
          <t xml:space="preserve">BPTM-55-26S075016</t>
        </is>
      </c>
      <c r="B62" s="6" t="inlineStr">
        <is>
          <t xml:space="preserve">BPTM-55-26S075016</t>
        </is>
      </c>
      <c r="C62" s="6" t="inlineStr">
        <is>
          <t xml:space="preserve">AHL3NVDRX7_1</t>
        </is>
      </c>
      <c r="D62" s="15" t="inlineStr">
        <is>
          <t xml:space="preserve">W061_MSH2_E10_02</t>
        </is>
      </c>
      <c r="E62" s="2">
        <v>2303</v>
      </c>
      <c r="F62" s="16" t="inlineStr">
        <is>
          <t xml:space="preserve">+</t>
        </is>
      </c>
      <c r="G62" s="4">
        <v>0.286</v>
      </c>
      <c r="H62" s="2">
        <v>1648</v>
      </c>
      <c r="I62" s="8" t="inlineStr">
        <is>
          <t xml:space="preserve">+</t>
        </is>
      </c>
      <c r="J62" s="4">
        <v>0.311</v>
      </c>
    </row>
    <row r="63">
      <c r="A63" s="5" t="inlineStr">
        <is>
          <t xml:space="preserve">BPTM-55-26S075016</t>
        </is>
      </c>
      <c r="B63" s="6" t="inlineStr">
        <is>
          <t xml:space="preserve">BPTM-55-26S075016</t>
        </is>
      </c>
      <c r="C63" s="6" t="inlineStr">
        <is>
          <t xml:space="preserve">AHL3NVDRX7_1</t>
        </is>
      </c>
      <c r="D63" s="15" t="inlineStr">
        <is>
          <t xml:space="preserve">W062_MSH2_E11_01</t>
        </is>
      </c>
      <c r="E63" s="2">
        <v>6302</v>
      </c>
      <c r="F63" s="16" t="inlineStr">
        <is>
          <t xml:space="preserve">+</t>
        </is>
      </c>
      <c r="G63" s="4">
        <v>0.784</v>
      </c>
      <c r="H63" s="2">
        <v>4473</v>
      </c>
      <c r="I63" s="8" t="inlineStr">
        <is>
          <t xml:space="preserve">+</t>
        </is>
      </c>
      <c r="J63" s="4">
        <v>0.844</v>
      </c>
    </row>
    <row r="64">
      <c r="A64" s="5" t="inlineStr">
        <is>
          <t xml:space="preserve">BPTM-55-26S075016</t>
        </is>
      </c>
      <c r="B64" s="6" t="inlineStr">
        <is>
          <t xml:space="preserve">BPTM-55-26S075016</t>
        </is>
      </c>
      <c r="C64" s="6" t="inlineStr">
        <is>
          <t xml:space="preserve">AHL3NVDRX7_1</t>
        </is>
      </c>
      <c r="D64" s="15" t="inlineStr">
        <is>
          <t xml:space="preserve">W063_MSH2_E11_02</t>
        </is>
      </c>
      <c r="E64" s="2">
        <v>6386</v>
      </c>
      <c r="F64" s="16" t="inlineStr">
        <is>
          <t xml:space="preserve">+</t>
        </is>
      </c>
      <c r="G64" s="4">
        <v>0.794</v>
      </c>
      <c r="H64" s="2">
        <v>4560</v>
      </c>
      <c r="I64" s="8" t="inlineStr">
        <is>
          <t xml:space="preserve">+</t>
        </is>
      </c>
      <c r="J64" s="4">
        <v>0.861</v>
      </c>
    </row>
    <row r="65">
      <c r="A65" s="5" t="inlineStr">
        <is>
          <t xml:space="preserve">BPTM-55-26S075016</t>
        </is>
      </c>
      <c r="B65" s="6" t="inlineStr">
        <is>
          <t xml:space="preserve">BPTM-55-26S075016</t>
        </is>
      </c>
      <c r="C65" s="6" t="inlineStr">
        <is>
          <t xml:space="preserve">AHL3NVDRX7_1</t>
        </is>
      </c>
      <c r="D65" s="15" t="inlineStr">
        <is>
          <t xml:space="preserve">W064_MSH2_E12_01</t>
        </is>
      </c>
      <c r="E65" s="2">
        <v>6369</v>
      </c>
      <c r="F65" s="16" t="inlineStr">
        <is>
          <t xml:space="preserve">+</t>
        </is>
      </c>
      <c r="G65" s="4">
        <v>0.792</v>
      </c>
      <c r="H65" s="2">
        <v>4348</v>
      </c>
      <c r="I65" s="8" t="inlineStr">
        <is>
          <t xml:space="preserve">+</t>
        </is>
      </c>
      <c r="J65" s="4">
        <v>0.821</v>
      </c>
    </row>
    <row r="66">
      <c r="A66" s="5" t="inlineStr">
        <is>
          <t xml:space="preserve">BPTM-55-26S075016</t>
        </is>
      </c>
      <c r="B66" s="6" t="inlineStr">
        <is>
          <t xml:space="preserve">BPTM-55-26S075016</t>
        </is>
      </c>
      <c r="C66" s="6" t="inlineStr">
        <is>
          <t xml:space="preserve">AHL3NVDRX7_1</t>
        </is>
      </c>
      <c r="D66" s="15" t="inlineStr">
        <is>
          <t xml:space="preserve">W065_MSH2_E12_02</t>
        </is>
      </c>
      <c r="E66" s="2">
        <v>11802</v>
      </c>
      <c r="F66" s="16" t="inlineStr">
        <is>
          <t xml:space="preserve">+</t>
        </is>
      </c>
      <c r="G66" s="4">
        <v>1.468</v>
      </c>
      <c r="H66" s="2">
        <v>7707</v>
      </c>
      <c r="I66" s="8" t="inlineStr">
        <is>
          <t xml:space="preserve">+</t>
        </is>
      </c>
      <c r="J66" s="4">
        <v>1.455</v>
      </c>
    </row>
    <row r="67">
      <c r="A67" s="5" t="inlineStr">
        <is>
          <t xml:space="preserve">BPTM-55-26S075016</t>
        </is>
      </c>
      <c r="B67" s="6" t="inlineStr">
        <is>
          <t xml:space="preserve">BPTM-55-26S075016</t>
        </is>
      </c>
      <c r="C67" s="6" t="inlineStr">
        <is>
          <t xml:space="preserve">AHL3NVDRX7_1</t>
        </is>
      </c>
      <c r="D67" s="15" t="inlineStr">
        <is>
          <t xml:space="preserve">W066_MSH2_E12_03</t>
        </is>
      </c>
      <c r="E67" s="2">
        <v>7015</v>
      </c>
      <c r="F67" s="16" t="inlineStr">
        <is>
          <t xml:space="preserve">+</t>
        </is>
      </c>
      <c r="G67" s="4">
        <v>0.872</v>
      </c>
      <c r="H67" s="2">
        <v>4766</v>
      </c>
      <c r="I67" s="8" t="inlineStr">
        <is>
          <t xml:space="preserve">+</t>
        </is>
      </c>
      <c r="J67" s="4">
        <v>0.9</v>
      </c>
    </row>
    <row r="68">
      <c r="A68" s="5" t="inlineStr">
        <is>
          <t xml:space="preserve">BPTM-55-26S075016</t>
        </is>
      </c>
      <c r="B68" s="6" t="inlineStr">
        <is>
          <t xml:space="preserve">BPTM-55-26S075016</t>
        </is>
      </c>
      <c r="C68" s="6" t="inlineStr">
        <is>
          <t xml:space="preserve">AHL3NVDRX7_1</t>
        </is>
      </c>
      <c r="D68" s="15" t="inlineStr">
        <is>
          <t xml:space="preserve">W067_MSH2_E13_01</t>
        </is>
      </c>
      <c r="E68" s="2">
        <v>4981</v>
      </c>
      <c r="F68" s="16" t="inlineStr">
        <is>
          <t xml:space="preserve">+</t>
        </is>
      </c>
      <c r="G68" s="4">
        <v>0.619</v>
      </c>
      <c r="H68" s="2">
        <v>3455</v>
      </c>
      <c r="I68" s="8" t="inlineStr">
        <is>
          <t xml:space="preserve">+</t>
        </is>
      </c>
      <c r="J68" s="4">
        <v>0.652</v>
      </c>
    </row>
    <row r="69">
      <c r="A69" s="5" t="inlineStr">
        <is>
          <t xml:space="preserve">BPTM-55-26S075016</t>
        </is>
      </c>
      <c r="B69" s="6" t="inlineStr">
        <is>
          <t xml:space="preserve">BPTM-55-26S075016</t>
        </is>
      </c>
      <c r="C69" s="6" t="inlineStr">
        <is>
          <t xml:space="preserve">AHL3NVDRX7_1</t>
        </is>
      </c>
      <c r="D69" s="15" t="inlineStr">
        <is>
          <t xml:space="preserve">W068_MSH2_E13_02</t>
        </is>
      </c>
      <c r="E69" s="2">
        <v>19480</v>
      </c>
      <c r="F69" s="16" t="inlineStr">
        <is>
          <t xml:space="preserve">+</t>
        </is>
      </c>
      <c r="G69" s="4">
        <v>2.422</v>
      </c>
      <c r="H69" s="2">
        <v>11475</v>
      </c>
      <c r="I69" s="8" t="inlineStr">
        <is>
          <t xml:space="preserve">+</t>
        </is>
      </c>
      <c r="J69" s="4">
        <v>2.166</v>
      </c>
    </row>
    <row r="70">
      <c r="A70" s="5" t="inlineStr">
        <is>
          <t xml:space="preserve">BPTM-55-26S075016</t>
        </is>
      </c>
      <c r="B70" s="6" t="inlineStr">
        <is>
          <t xml:space="preserve">BPTM-55-26S075016</t>
        </is>
      </c>
      <c r="C70" s="6" t="inlineStr">
        <is>
          <t xml:space="preserve">AHL3NVDRX7_1</t>
        </is>
      </c>
      <c r="D70" s="15" t="inlineStr">
        <is>
          <t xml:space="preserve">W069_MSH2_E13_03</t>
        </is>
      </c>
      <c r="E70" s="2">
        <v>6623</v>
      </c>
      <c r="F70" s="16" t="inlineStr">
        <is>
          <t xml:space="preserve">+</t>
        </is>
      </c>
      <c r="G70" s="4">
        <v>0.824</v>
      </c>
      <c r="H70" s="2">
        <v>3942</v>
      </c>
      <c r="I70" s="8" t="inlineStr">
        <is>
          <t xml:space="preserve">+</t>
        </is>
      </c>
      <c r="J70" s="4">
        <v>0.744</v>
      </c>
    </row>
    <row r="71">
      <c r="A71" s="5" t="inlineStr">
        <is>
          <t xml:space="preserve">BPTM-55-26S075016</t>
        </is>
      </c>
      <c r="B71" s="6" t="inlineStr">
        <is>
          <t xml:space="preserve">BPTM-55-26S075016</t>
        </is>
      </c>
      <c r="C71" s="6" t="inlineStr">
        <is>
          <t xml:space="preserve">AHL3NVDRX7_1</t>
        </is>
      </c>
      <c r="D71" s="15" t="inlineStr">
        <is>
          <t xml:space="preserve">W070_MSH2_E14_01</t>
        </is>
      </c>
      <c r="E71" s="2">
        <v>3044</v>
      </c>
      <c r="F71" s="16" t="inlineStr">
        <is>
          <t xml:space="preserve">+</t>
        </is>
      </c>
      <c r="G71" s="4">
        <v>0.379</v>
      </c>
      <c r="H71" s="2">
        <v>2052</v>
      </c>
      <c r="I71" s="8" t="inlineStr">
        <is>
          <t xml:space="preserve">+</t>
        </is>
      </c>
      <c r="J71" s="4">
        <v>0.387</v>
      </c>
    </row>
    <row r="72">
      <c r="A72" s="5" t="inlineStr">
        <is>
          <t xml:space="preserve">BPTM-55-26S075016</t>
        </is>
      </c>
      <c r="B72" s="6" t="inlineStr">
        <is>
          <t xml:space="preserve">BPTM-55-26S075016</t>
        </is>
      </c>
      <c r="C72" s="6" t="inlineStr">
        <is>
          <t xml:space="preserve">AHL3NVDRX7_1</t>
        </is>
      </c>
      <c r="D72" s="15" t="inlineStr">
        <is>
          <t xml:space="preserve">W071_MSH2_E14_02</t>
        </is>
      </c>
      <c r="E72" s="2">
        <v>4299</v>
      </c>
      <c r="F72" s="16" t="inlineStr">
        <is>
          <t xml:space="preserve">+</t>
        </is>
      </c>
      <c r="G72" s="4">
        <v>0.535</v>
      </c>
      <c r="H72" s="2">
        <v>2897</v>
      </c>
      <c r="I72" s="8" t="inlineStr">
        <is>
          <t xml:space="preserve">+</t>
        </is>
      </c>
      <c r="J72" s="4">
        <v>0.547</v>
      </c>
    </row>
    <row r="73">
      <c r="A73" s="5" t="inlineStr">
        <is>
          <t xml:space="preserve">BPTM-55-26S075016</t>
        </is>
      </c>
      <c r="B73" s="6" t="inlineStr">
        <is>
          <t xml:space="preserve">BPTM-55-26S075016</t>
        </is>
      </c>
      <c r="C73" s="6" t="inlineStr">
        <is>
          <t xml:space="preserve">AHL3NVDRX7_1</t>
        </is>
      </c>
      <c r="D73" s="15" t="inlineStr">
        <is>
          <t xml:space="preserve">W072_MSH2_E14_03</t>
        </is>
      </c>
      <c r="E73" s="2">
        <v>7755</v>
      </c>
      <c r="F73" s="16" t="inlineStr">
        <is>
          <t xml:space="preserve">+</t>
        </is>
      </c>
      <c r="G73" s="4">
        <v>0.964</v>
      </c>
      <c r="H73" s="2">
        <v>4962</v>
      </c>
      <c r="I73" s="8" t="inlineStr">
        <is>
          <t xml:space="preserve">+</t>
        </is>
      </c>
      <c r="J73" s="4">
        <v>0.937</v>
      </c>
    </row>
    <row r="74">
      <c r="A74" s="5" t="inlineStr">
        <is>
          <t xml:space="preserve">BPTM-55-26S075016</t>
        </is>
      </c>
      <c r="B74" s="6" t="inlineStr">
        <is>
          <t xml:space="preserve">BPTM-55-26S075016</t>
        </is>
      </c>
      <c r="C74" s="6" t="inlineStr">
        <is>
          <t xml:space="preserve">AHL3NVDRX7_1</t>
        </is>
      </c>
      <c r="D74" s="15" t="inlineStr">
        <is>
          <t xml:space="preserve">W073_MSH2_E15_01</t>
        </is>
      </c>
      <c r="E74" s="2">
        <v>7166</v>
      </c>
      <c r="F74" s="16" t="inlineStr">
        <is>
          <t xml:space="preserve">+</t>
        </is>
      </c>
      <c r="G74" s="4">
        <v>0.891</v>
      </c>
      <c r="H74" s="2">
        <v>5171</v>
      </c>
      <c r="I74" s="8" t="inlineStr">
        <is>
          <t xml:space="preserve">+</t>
        </is>
      </c>
      <c r="J74" s="4">
        <v>0.976</v>
      </c>
    </row>
    <row r="75">
      <c r="A75" s="5" t="inlineStr">
        <is>
          <t xml:space="preserve">BPTM-55-26S075016</t>
        </is>
      </c>
      <c r="B75" s="6" t="inlineStr">
        <is>
          <t xml:space="preserve">BPTM-55-26S075016</t>
        </is>
      </c>
      <c r="C75" s="6" t="inlineStr">
        <is>
          <t xml:space="preserve">AHL3NVDRX7_1</t>
        </is>
      </c>
      <c r="D75" s="15" t="inlineStr">
        <is>
          <t xml:space="preserve">W074_MSH2_E15_02</t>
        </is>
      </c>
      <c r="E75" s="2">
        <v>5874</v>
      </c>
      <c r="F75" s="16" t="inlineStr">
        <is>
          <t xml:space="preserve">+</t>
        </is>
      </c>
      <c r="G75" s="4">
        <v>0.73</v>
      </c>
      <c r="H75" s="2">
        <v>4109</v>
      </c>
      <c r="I75" s="8" t="inlineStr">
        <is>
          <t xml:space="preserve">+</t>
        </is>
      </c>
      <c r="J75" s="4">
        <v>0.776</v>
      </c>
    </row>
    <row r="76">
      <c r="A76" s="5" t="inlineStr">
        <is>
          <t xml:space="preserve">BPTM-55-26S075016</t>
        </is>
      </c>
      <c r="B76" s="6" t="inlineStr">
        <is>
          <t xml:space="preserve">BPTM-55-26S075016</t>
        </is>
      </c>
      <c r="C76" s="6" t="inlineStr">
        <is>
          <t xml:space="preserve">AHL3NVDRX7_1</t>
        </is>
      </c>
      <c r="D76" s="15" t="inlineStr">
        <is>
          <t xml:space="preserve">W075_MSH2_E16_01</t>
        </is>
      </c>
      <c r="E76" s="2">
        <v>6404</v>
      </c>
      <c r="F76" s="16" t="inlineStr">
        <is>
          <t xml:space="preserve">+</t>
        </is>
      </c>
      <c r="G76" s="4">
        <v>0.796</v>
      </c>
      <c r="H76" s="2">
        <v>4533</v>
      </c>
      <c r="I76" s="8" t="inlineStr">
        <is>
          <t xml:space="preserve">+</t>
        </is>
      </c>
      <c r="J76" s="4">
        <v>0.856</v>
      </c>
    </row>
    <row r="77">
      <c r="A77" s="5" t="inlineStr">
        <is>
          <t xml:space="preserve">BPTM-55-26S075016</t>
        </is>
      </c>
      <c r="B77" s="6" t="inlineStr">
        <is>
          <t xml:space="preserve">BPTM-55-26S075016</t>
        </is>
      </c>
      <c r="C77" s="6" t="inlineStr">
        <is>
          <t xml:space="preserve">AHL3NVDRX7_1</t>
        </is>
      </c>
      <c r="D77" s="15" t="inlineStr">
        <is>
          <t xml:space="preserve">W076_MSH2_E16_02</t>
        </is>
      </c>
      <c r="E77" s="2">
        <v>5342</v>
      </c>
      <c r="F77" s="16" t="inlineStr">
        <is>
          <t xml:space="preserve">+</t>
        </is>
      </c>
      <c r="G77" s="4">
        <v>0.664</v>
      </c>
      <c r="H77" s="2">
        <v>3733</v>
      </c>
      <c r="I77" s="8" t="inlineStr">
        <is>
          <t xml:space="preserve">+</t>
        </is>
      </c>
      <c r="J77" s="4">
        <v>0.705</v>
      </c>
    </row>
    <row r="78">
      <c r="A78" s="5" t="inlineStr">
        <is>
          <t xml:space="preserve">BPTM-55-26S075016</t>
        </is>
      </c>
      <c r="B78" s="6" t="inlineStr">
        <is>
          <t xml:space="preserve">BPTM-55-26S075016</t>
        </is>
      </c>
      <c r="C78" s="6" t="inlineStr">
        <is>
          <t xml:space="preserve">AHL3NVDRX7_1</t>
        </is>
      </c>
      <c r="D78" s="15" t="inlineStr">
        <is>
          <t xml:space="preserve">W077_MSH2_E16_03</t>
        </is>
      </c>
      <c r="E78" s="2">
        <v>2711</v>
      </c>
      <c r="F78" s="16" t="inlineStr">
        <is>
          <t xml:space="preserve">+</t>
        </is>
      </c>
      <c r="G78" s="4">
        <v>0.337</v>
      </c>
      <c r="H78" s="2">
        <v>1976</v>
      </c>
      <c r="I78" s="8" t="inlineStr">
        <is>
          <t xml:space="preserve">+</t>
        </is>
      </c>
      <c r="J78" s="4">
        <v>0.373</v>
      </c>
    </row>
    <row r="79">
      <c r="A79" s="5" t="inlineStr">
        <is>
          <t xml:space="preserve">BPTM-55-26S075016</t>
        </is>
      </c>
      <c r="B79" s="6" t="inlineStr">
        <is>
          <t xml:space="preserve">BPTM-55-26S075016</t>
        </is>
      </c>
      <c r="C79" s="6" t="inlineStr">
        <is>
          <t xml:space="preserve">AHL3NVDRX7_1</t>
        </is>
      </c>
      <c r="D79" s="15" t="inlineStr">
        <is>
          <t xml:space="preserve">W078_MSH6_E01_01</t>
        </is>
      </c>
      <c r="E79" s="2">
        <v>11680</v>
      </c>
      <c r="F79" s="16" t="inlineStr">
        <is>
          <t xml:space="preserve">+</t>
        </is>
      </c>
      <c r="G79" s="4">
        <v>1.452</v>
      </c>
      <c r="H79" s="2">
        <v>5890</v>
      </c>
      <c r="I79" s="8" t="inlineStr">
        <is>
          <t xml:space="preserve">+</t>
        </is>
      </c>
      <c r="J79" s="4">
        <v>1.112</v>
      </c>
    </row>
    <row r="80">
      <c r="A80" s="5" t="inlineStr">
        <is>
          <t xml:space="preserve">BPTM-55-26S075016</t>
        </is>
      </c>
      <c r="B80" s="6" t="inlineStr">
        <is>
          <t xml:space="preserve">BPTM-55-26S075016</t>
        </is>
      </c>
      <c r="C80" s="6" t="inlineStr">
        <is>
          <t xml:space="preserve">AHL3NVDRX7_1</t>
        </is>
      </c>
      <c r="D80" s="15" t="inlineStr">
        <is>
          <t xml:space="preserve">W079_MSH6_E01_02</t>
        </is>
      </c>
      <c r="E80" s="2">
        <v>1010</v>
      </c>
      <c r="F80" s="16" t="inlineStr">
        <is>
          <t xml:space="preserve">-</t>
        </is>
      </c>
      <c r="G80" s="4">
        <v>0.126</v>
      </c>
      <c r="H80" s="2">
        <v>628</v>
      </c>
      <c r="I80" s="8" t="inlineStr">
        <is>
          <t xml:space="preserve">-</t>
        </is>
      </c>
      <c r="J80" s="4">
        <v>0.119</v>
      </c>
    </row>
    <row r="81">
      <c r="A81" s="5" t="inlineStr">
        <is>
          <t xml:space="preserve">BPTM-55-26S075016</t>
        </is>
      </c>
      <c r="B81" s="6" t="inlineStr">
        <is>
          <t xml:space="preserve">BPTM-55-26S075016</t>
        </is>
      </c>
      <c r="C81" s="6" t="inlineStr">
        <is>
          <t xml:space="preserve">AHL3NVDRX7_1</t>
        </is>
      </c>
      <c r="D81" s="15" t="inlineStr">
        <is>
          <t xml:space="preserve">W080_MSH6_E02_01</t>
        </is>
      </c>
      <c r="E81" s="2">
        <v>9634</v>
      </c>
      <c r="F81" s="16" t="inlineStr">
        <is>
          <t xml:space="preserve">+</t>
        </is>
      </c>
      <c r="G81" s="4">
        <v>1.198</v>
      </c>
      <c r="H81" s="2">
        <v>6383</v>
      </c>
      <c r="I81" s="8" t="inlineStr">
        <is>
          <t xml:space="preserve">+</t>
        </is>
      </c>
      <c r="J81" s="4">
        <v>1.205</v>
      </c>
    </row>
    <row r="82">
      <c r="A82" s="5" t="inlineStr">
        <is>
          <t xml:space="preserve">BPTM-55-26S075016</t>
        </is>
      </c>
      <c r="B82" s="6" t="inlineStr">
        <is>
          <t xml:space="preserve">BPTM-55-26S075016</t>
        </is>
      </c>
      <c r="C82" s="6" t="inlineStr">
        <is>
          <t xml:space="preserve">AHL3NVDRX7_1</t>
        </is>
      </c>
      <c r="D82" s="15" t="inlineStr">
        <is>
          <t xml:space="preserve">W081_MSH6_E02_02</t>
        </is>
      </c>
      <c r="E82" s="2">
        <v>6794</v>
      </c>
      <c r="F82" s="16" t="inlineStr">
        <is>
          <t xml:space="preserve">+</t>
        </is>
      </c>
      <c r="G82" s="4">
        <v>0.845</v>
      </c>
      <c r="H82" s="2">
        <v>4415</v>
      </c>
      <c r="I82" s="8" t="inlineStr">
        <is>
          <t xml:space="preserve">+</t>
        </is>
      </c>
      <c r="J82" s="4">
        <v>0.833</v>
      </c>
    </row>
    <row r="83">
      <c r="A83" s="5" t="inlineStr">
        <is>
          <t xml:space="preserve">BPTM-55-26S075016</t>
        </is>
      </c>
      <c r="B83" s="6" t="inlineStr">
        <is>
          <t xml:space="preserve">BPTM-55-26S075016</t>
        </is>
      </c>
      <c r="C83" s="6" t="inlineStr">
        <is>
          <t xml:space="preserve">AHL3NVDRX7_1</t>
        </is>
      </c>
      <c r="D83" s="15" t="inlineStr">
        <is>
          <t xml:space="preserve">W082_MSH6_E02_03</t>
        </is>
      </c>
      <c r="E83" s="2">
        <v>1974</v>
      </c>
      <c r="F83" s="16" t="inlineStr">
        <is>
          <t xml:space="preserve">+</t>
        </is>
      </c>
      <c r="G83" s="4">
        <v>0.245</v>
      </c>
      <c r="H83" s="2">
        <v>1344</v>
      </c>
      <c r="I83" s="8" t="inlineStr">
        <is>
          <t xml:space="preserve">+</t>
        </is>
      </c>
      <c r="J83" s="4">
        <v>0.254</v>
      </c>
    </row>
    <row r="84">
      <c r="A84" s="5" t="inlineStr">
        <is>
          <t xml:space="preserve">BPTM-55-26S075016</t>
        </is>
      </c>
      <c r="B84" s="6" t="inlineStr">
        <is>
          <t xml:space="preserve">BPTM-55-26S075016</t>
        </is>
      </c>
      <c r="C84" s="6" t="inlineStr">
        <is>
          <t xml:space="preserve">AHL3NVDRX7_1</t>
        </is>
      </c>
      <c r="D84" s="15" t="inlineStr">
        <is>
          <t xml:space="preserve">W083_MSH6_E03_01</t>
        </is>
      </c>
      <c r="E84" s="2">
        <v>3047</v>
      </c>
      <c r="F84" s="16" t="inlineStr">
        <is>
          <t xml:space="preserve">+</t>
        </is>
      </c>
      <c r="G84" s="4">
        <v>0.379</v>
      </c>
      <c r="H84" s="2">
        <v>2226</v>
      </c>
      <c r="I84" s="8" t="inlineStr">
        <is>
          <t xml:space="preserve">+</t>
        </is>
      </c>
      <c r="J84" s="4">
        <v>0.42</v>
      </c>
    </row>
    <row r="85">
      <c r="A85" s="5" t="inlineStr">
        <is>
          <t xml:space="preserve">BPTM-55-26S075016</t>
        </is>
      </c>
      <c r="B85" s="6" t="inlineStr">
        <is>
          <t xml:space="preserve">BPTM-55-26S075016</t>
        </is>
      </c>
      <c r="C85" s="6" t="inlineStr">
        <is>
          <t xml:space="preserve">AHL3NVDRX7_1</t>
        </is>
      </c>
      <c r="D85" s="15" t="inlineStr">
        <is>
          <t xml:space="preserve">W084_MSH6_E03_02</t>
        </is>
      </c>
      <c r="E85" s="2">
        <v>15025</v>
      </c>
      <c r="F85" s="16" t="inlineStr">
        <is>
          <t xml:space="preserve">+</t>
        </is>
      </c>
      <c r="G85" s="4">
        <v>1.868</v>
      </c>
      <c r="H85" s="2">
        <v>9823</v>
      </c>
      <c r="I85" s="8" t="inlineStr">
        <is>
          <t xml:space="preserve">+</t>
        </is>
      </c>
      <c r="J85" s="4">
        <v>1.854</v>
      </c>
    </row>
    <row r="86">
      <c r="A86" s="5" t="inlineStr">
        <is>
          <t xml:space="preserve">BPTM-55-26S075016</t>
        </is>
      </c>
      <c r="B86" s="6" t="inlineStr">
        <is>
          <t xml:space="preserve">BPTM-55-26S075016</t>
        </is>
      </c>
      <c r="C86" s="6" t="inlineStr">
        <is>
          <t xml:space="preserve">AHL3NVDRX7_1</t>
        </is>
      </c>
      <c r="D86" s="15" t="inlineStr">
        <is>
          <t xml:space="preserve">W085_MSH6_E04_01</t>
        </is>
      </c>
      <c r="E86" s="2">
        <v>5848</v>
      </c>
      <c r="F86" s="16" t="inlineStr">
        <is>
          <t xml:space="preserve">+</t>
        </is>
      </c>
      <c r="G86" s="4">
        <v>0.727</v>
      </c>
      <c r="H86" s="2">
        <v>3984</v>
      </c>
      <c r="I86" s="8" t="inlineStr">
        <is>
          <t xml:space="preserve">+</t>
        </is>
      </c>
      <c r="J86" s="4">
        <v>0.752</v>
      </c>
    </row>
    <row r="87">
      <c r="A87" s="5" t="inlineStr">
        <is>
          <t xml:space="preserve">BPTM-55-26S075016</t>
        </is>
      </c>
      <c r="B87" s="6" t="inlineStr">
        <is>
          <t xml:space="preserve">BPTM-55-26S075016</t>
        </is>
      </c>
      <c r="C87" s="6" t="inlineStr">
        <is>
          <t xml:space="preserve">AHL3NVDRX7_1</t>
        </is>
      </c>
      <c r="D87" s="15" t="inlineStr">
        <is>
          <t xml:space="preserve">W086_MSH6_E04_02</t>
        </is>
      </c>
      <c r="E87" s="2">
        <v>13716</v>
      </c>
      <c r="F87" s="16" t="inlineStr">
        <is>
          <t xml:space="preserve">+</t>
        </is>
      </c>
      <c r="G87" s="4">
        <v>1.706</v>
      </c>
      <c r="H87" s="2">
        <v>9328</v>
      </c>
      <c r="I87" s="8" t="inlineStr">
        <is>
          <t xml:space="preserve">+</t>
        </is>
      </c>
      <c r="J87" s="4">
        <v>1.761</v>
      </c>
    </row>
    <row r="88">
      <c r="A88" s="5" t="inlineStr">
        <is>
          <t xml:space="preserve">BPTM-55-26S075016</t>
        </is>
      </c>
      <c r="B88" s="6" t="inlineStr">
        <is>
          <t xml:space="preserve">BPTM-55-26S075016</t>
        </is>
      </c>
      <c r="C88" s="6" t="inlineStr">
        <is>
          <t xml:space="preserve">AHL3NVDRX7_1</t>
        </is>
      </c>
      <c r="D88" s="15" t="inlineStr">
        <is>
          <t xml:space="preserve">W087_MSH6_E04_03</t>
        </is>
      </c>
      <c r="E88" s="2">
        <v>2867</v>
      </c>
      <c r="F88" s="16" t="inlineStr">
        <is>
          <t xml:space="preserve">+</t>
        </is>
      </c>
      <c r="G88" s="4">
        <v>0.357</v>
      </c>
      <c r="H88" s="2">
        <v>1976</v>
      </c>
      <c r="I88" s="8" t="inlineStr">
        <is>
          <t xml:space="preserve">+</t>
        </is>
      </c>
      <c r="J88" s="4">
        <v>0.373</v>
      </c>
    </row>
    <row r="89">
      <c r="A89" s="5" t="inlineStr">
        <is>
          <t xml:space="preserve">BPTM-55-26S075016</t>
        </is>
      </c>
      <c r="B89" s="6" t="inlineStr">
        <is>
          <t xml:space="preserve">BPTM-55-26S075016</t>
        </is>
      </c>
      <c r="C89" s="6" t="inlineStr">
        <is>
          <t xml:space="preserve">AHL3NVDRX7_1</t>
        </is>
      </c>
      <c r="D89" s="15" t="inlineStr">
        <is>
          <t xml:space="preserve">W088_MSH6_E04_04</t>
        </is>
      </c>
      <c r="E89" s="2">
        <v>7397</v>
      </c>
      <c r="F89" s="16" t="inlineStr">
        <is>
          <t xml:space="preserve">+</t>
        </is>
      </c>
      <c r="G89" s="4">
        <v>0.92</v>
      </c>
      <c r="H89" s="2">
        <v>5146</v>
      </c>
      <c r="I89" s="8" t="inlineStr">
        <is>
          <t xml:space="preserve">+</t>
        </is>
      </c>
      <c r="J89" s="4">
        <v>0.971</v>
      </c>
    </row>
    <row r="90">
      <c r="A90" s="5" t="inlineStr">
        <is>
          <t xml:space="preserve">BPTM-55-26S075016</t>
        </is>
      </c>
      <c r="B90" s="6" t="inlineStr">
        <is>
          <t xml:space="preserve">BPTM-55-26S075016</t>
        </is>
      </c>
      <c r="C90" s="6" t="inlineStr">
        <is>
          <t xml:space="preserve">AHL3NVDRX7_1</t>
        </is>
      </c>
      <c r="D90" s="15" t="inlineStr">
        <is>
          <t xml:space="preserve">W089_MSH6_E04_05</t>
        </is>
      </c>
      <c r="E90" s="2">
        <v>8379</v>
      </c>
      <c r="F90" s="16" t="inlineStr">
        <is>
          <t xml:space="preserve">+</t>
        </is>
      </c>
      <c r="G90" s="4">
        <v>1.042</v>
      </c>
      <c r="H90" s="2">
        <v>5672</v>
      </c>
      <c r="I90" s="8" t="inlineStr">
        <is>
          <t xml:space="preserve">+</t>
        </is>
      </c>
      <c r="J90" s="4">
        <v>1.071</v>
      </c>
    </row>
    <row r="91">
      <c r="A91" s="5" t="inlineStr">
        <is>
          <t xml:space="preserve">BPTM-55-26S075016</t>
        </is>
      </c>
      <c r="B91" s="6" t="inlineStr">
        <is>
          <t xml:space="preserve">BPTM-55-26S075016</t>
        </is>
      </c>
      <c r="C91" s="6" t="inlineStr">
        <is>
          <t xml:space="preserve">AHL3NVDRX7_1</t>
        </is>
      </c>
      <c r="D91" s="15" t="inlineStr">
        <is>
          <t xml:space="preserve">W090_MSH6_E04_06</t>
        </is>
      </c>
      <c r="E91" s="2">
        <v>5096</v>
      </c>
      <c r="F91" s="16" t="inlineStr">
        <is>
          <t xml:space="preserve">+</t>
        </is>
      </c>
      <c r="G91" s="4">
        <v>0.634</v>
      </c>
      <c r="H91" s="2">
        <v>3412</v>
      </c>
      <c r="I91" s="8" t="inlineStr">
        <is>
          <t xml:space="preserve">+</t>
        </is>
      </c>
      <c r="J91" s="4">
        <v>0.644</v>
      </c>
    </row>
    <row r="92">
      <c r="A92" s="5" t="inlineStr">
        <is>
          <t xml:space="preserve">BPTM-55-26S075016</t>
        </is>
      </c>
      <c r="B92" s="6" t="inlineStr">
        <is>
          <t xml:space="preserve">BPTM-55-26S075016</t>
        </is>
      </c>
      <c r="C92" s="6" t="inlineStr">
        <is>
          <t xml:space="preserve">AHL3NVDRX7_1</t>
        </is>
      </c>
      <c r="D92" s="15" t="inlineStr">
        <is>
          <t xml:space="preserve">W091_MSH6_E04_07</t>
        </is>
      </c>
      <c r="E92" s="2">
        <v>11058</v>
      </c>
      <c r="F92" s="16" t="inlineStr">
        <is>
          <t xml:space="preserve">+</t>
        </is>
      </c>
      <c r="G92" s="4">
        <v>1.375</v>
      </c>
      <c r="H92" s="2">
        <v>7229</v>
      </c>
      <c r="I92" s="8" t="inlineStr">
        <is>
          <t xml:space="preserve">+</t>
        </is>
      </c>
      <c r="J92" s="4">
        <v>1.365</v>
      </c>
    </row>
    <row r="93">
      <c r="A93" s="5" t="inlineStr">
        <is>
          <t xml:space="preserve">BPTM-55-26S075016</t>
        </is>
      </c>
      <c r="B93" s="6" t="inlineStr">
        <is>
          <t xml:space="preserve">BPTM-55-26S075016</t>
        </is>
      </c>
      <c r="C93" s="6" t="inlineStr">
        <is>
          <t xml:space="preserve">AHL3NVDRX7_1</t>
        </is>
      </c>
      <c r="D93" s="15" t="inlineStr">
        <is>
          <t xml:space="preserve">W092_MSH6_E04_08</t>
        </is>
      </c>
      <c r="E93" s="2">
        <v>15197</v>
      </c>
      <c r="F93" s="16" t="inlineStr">
        <is>
          <t xml:space="preserve">+</t>
        </is>
      </c>
      <c r="G93" s="4">
        <v>1.89</v>
      </c>
      <c r="H93" s="2">
        <v>10005</v>
      </c>
      <c r="I93" s="8" t="inlineStr">
        <is>
          <t xml:space="preserve">+</t>
        </is>
      </c>
      <c r="J93" s="4">
        <v>1.889</v>
      </c>
    </row>
    <row r="94">
      <c r="A94" s="5" t="inlineStr">
        <is>
          <t xml:space="preserve">BPTM-55-26S075016</t>
        </is>
      </c>
      <c r="B94" s="6" t="inlineStr">
        <is>
          <t xml:space="preserve">BPTM-55-26S075016</t>
        </is>
      </c>
      <c r="C94" s="6" t="inlineStr">
        <is>
          <t xml:space="preserve">AHL3NVDRX7_1</t>
        </is>
      </c>
      <c r="D94" s="15" t="inlineStr">
        <is>
          <t xml:space="preserve">W093_MSH6_E04_09</t>
        </is>
      </c>
      <c r="E94" s="2">
        <v>4159</v>
      </c>
      <c r="F94" s="16" t="inlineStr">
        <is>
          <t xml:space="preserve">+</t>
        </is>
      </c>
      <c r="G94" s="4">
        <v>0.517</v>
      </c>
      <c r="H94" s="2">
        <v>2696</v>
      </c>
      <c r="I94" s="8" t="inlineStr">
        <is>
          <t xml:space="preserve">+</t>
        </is>
      </c>
      <c r="J94" s="4">
        <v>0.509</v>
      </c>
    </row>
    <row r="95">
      <c r="A95" s="5" t="inlineStr">
        <is>
          <t xml:space="preserve">BPTM-55-26S075016</t>
        </is>
      </c>
      <c r="B95" s="6" t="inlineStr">
        <is>
          <t xml:space="preserve">BPTM-55-26S075016</t>
        </is>
      </c>
      <c r="C95" s="6" t="inlineStr">
        <is>
          <t xml:space="preserve">AHL3NVDRX7_1</t>
        </is>
      </c>
      <c r="D95" s="15" t="inlineStr">
        <is>
          <t xml:space="preserve">W094_MSH6_E04_10</t>
        </is>
      </c>
      <c r="E95" s="2">
        <v>3214</v>
      </c>
      <c r="F95" s="16" t="inlineStr">
        <is>
          <t xml:space="preserve">+</t>
        </is>
      </c>
      <c r="G95" s="4">
        <v>0.4</v>
      </c>
      <c r="H95" s="2">
        <v>2246</v>
      </c>
      <c r="I95" s="8" t="inlineStr">
        <is>
          <t xml:space="preserve">+</t>
        </is>
      </c>
      <c r="J95" s="4">
        <v>0.424</v>
      </c>
    </row>
    <row r="96">
      <c r="A96" s="5" t="inlineStr">
        <is>
          <t xml:space="preserve">BPTM-55-26S075016</t>
        </is>
      </c>
      <c r="B96" s="6" t="inlineStr">
        <is>
          <t xml:space="preserve">BPTM-55-26S075016</t>
        </is>
      </c>
      <c r="C96" s="6" t="inlineStr">
        <is>
          <t xml:space="preserve">AHL3NVDRX7_1</t>
        </is>
      </c>
      <c r="D96" s="15" t="inlineStr">
        <is>
          <t xml:space="preserve">W095_MSH6_E04_11</t>
        </is>
      </c>
      <c r="E96" s="2">
        <v>7378</v>
      </c>
      <c r="F96" s="16" t="inlineStr">
        <is>
          <t xml:space="preserve">+</t>
        </is>
      </c>
      <c r="G96" s="4">
        <v>0.917</v>
      </c>
      <c r="H96" s="2">
        <v>5161</v>
      </c>
      <c r="I96" s="8" t="inlineStr">
        <is>
          <t xml:space="preserve">+</t>
        </is>
      </c>
      <c r="J96" s="4">
        <v>0.974</v>
      </c>
    </row>
    <row r="97">
      <c r="A97" s="5" t="inlineStr">
        <is>
          <t xml:space="preserve">BPTM-55-26S075016</t>
        </is>
      </c>
      <c r="B97" s="6" t="inlineStr">
        <is>
          <t xml:space="preserve">BPTM-55-26S075016</t>
        </is>
      </c>
      <c r="C97" s="6" t="inlineStr">
        <is>
          <t xml:space="preserve">AHL3NVDRX7_1</t>
        </is>
      </c>
      <c r="D97" s="15" t="inlineStr">
        <is>
          <t xml:space="preserve">W096_MSH6_E04_12</t>
        </is>
      </c>
      <c r="E97" s="2">
        <v>5846</v>
      </c>
      <c r="F97" s="16" t="inlineStr">
        <is>
          <t xml:space="preserve">+</t>
        </is>
      </c>
      <c r="G97" s="4">
        <v>0.727</v>
      </c>
      <c r="H97" s="2">
        <v>4121</v>
      </c>
      <c r="I97" s="8" t="inlineStr">
        <is>
          <t xml:space="preserve">+</t>
        </is>
      </c>
      <c r="J97" s="4">
        <v>0.778</v>
      </c>
    </row>
    <row r="98">
      <c r="A98" s="5" t="inlineStr">
        <is>
          <t xml:space="preserve">BPTM-55-26S075016</t>
        </is>
      </c>
      <c r="B98" s="6" t="inlineStr">
        <is>
          <t xml:space="preserve">BPTM-55-26S075016</t>
        </is>
      </c>
      <c r="C98" s="6" t="inlineStr">
        <is>
          <t xml:space="preserve">AHL3NVDRX7_1</t>
        </is>
      </c>
      <c r="D98" s="15" t="inlineStr">
        <is>
          <t xml:space="preserve">W097_MSH6_E04_13</t>
        </is>
      </c>
      <c r="E98" s="2">
        <v>3591</v>
      </c>
      <c r="F98" s="16" t="inlineStr">
        <is>
          <t xml:space="preserve">+</t>
        </is>
      </c>
      <c r="G98" s="4">
        <v>0.447</v>
      </c>
      <c r="H98" s="2">
        <v>2446</v>
      </c>
      <c r="I98" s="8" t="inlineStr">
        <is>
          <t xml:space="preserve">+</t>
        </is>
      </c>
      <c r="J98" s="4">
        <v>0.462</v>
      </c>
    </row>
    <row r="99">
      <c r="A99" s="5" t="inlineStr">
        <is>
          <t xml:space="preserve">BPTM-55-26S075016</t>
        </is>
      </c>
      <c r="B99" s="6" t="inlineStr">
        <is>
          <t xml:space="preserve">BPTM-55-26S075016</t>
        </is>
      </c>
      <c r="C99" s="6" t="inlineStr">
        <is>
          <t xml:space="preserve">AHL3NVDRX7_1</t>
        </is>
      </c>
      <c r="D99" s="15" t="inlineStr">
        <is>
          <t xml:space="preserve">W098_MSH6_E04_14</t>
        </is>
      </c>
      <c r="E99" s="2">
        <v>4721</v>
      </c>
      <c r="F99" s="16" t="inlineStr">
        <is>
          <t xml:space="preserve">+</t>
        </is>
      </c>
      <c r="G99" s="4">
        <v>0.587</v>
      </c>
      <c r="H99" s="2">
        <v>3281</v>
      </c>
      <c r="I99" s="8" t="inlineStr">
        <is>
          <t xml:space="preserve">+</t>
        </is>
      </c>
      <c r="J99" s="4">
        <v>0.619</v>
      </c>
    </row>
    <row r="100">
      <c r="A100" s="5" t="inlineStr">
        <is>
          <t xml:space="preserve">BPTM-55-26S075016</t>
        </is>
      </c>
      <c r="B100" s="6" t="inlineStr">
        <is>
          <t xml:space="preserve">BPTM-55-26S075016</t>
        </is>
      </c>
      <c r="C100" s="6" t="inlineStr">
        <is>
          <t xml:space="preserve">AHL3NVDRX7_1</t>
        </is>
      </c>
      <c r="D100" s="15" t="inlineStr">
        <is>
          <t xml:space="preserve">W099_MSH6_E04_15</t>
        </is>
      </c>
      <c r="E100" s="2">
        <v>3970</v>
      </c>
      <c r="F100" s="16" t="inlineStr">
        <is>
          <t xml:space="preserve">+</t>
        </is>
      </c>
      <c r="G100" s="4">
        <v>0.494</v>
      </c>
      <c r="H100" s="2">
        <v>2717</v>
      </c>
      <c r="I100" s="8" t="inlineStr">
        <is>
          <t xml:space="preserve">+</t>
        </is>
      </c>
      <c r="J100" s="4">
        <v>0.513</v>
      </c>
    </row>
    <row r="101">
      <c r="A101" s="5" t="inlineStr">
        <is>
          <t xml:space="preserve">BPTM-55-26S075016</t>
        </is>
      </c>
      <c r="B101" s="6" t="inlineStr">
        <is>
          <t xml:space="preserve">BPTM-55-26S075016</t>
        </is>
      </c>
      <c r="C101" s="6" t="inlineStr">
        <is>
          <t xml:space="preserve">AHL3NVDRX7_1</t>
        </is>
      </c>
      <c r="D101" s="15" t="inlineStr">
        <is>
          <t xml:space="preserve">W100_MSH6_E04_16</t>
        </is>
      </c>
      <c r="E101" s="2">
        <v>6742</v>
      </c>
      <c r="F101" s="16" t="inlineStr">
        <is>
          <t xml:space="preserve">+</t>
        </is>
      </c>
      <c r="G101" s="4">
        <v>0.838</v>
      </c>
      <c r="H101" s="2">
        <v>4537</v>
      </c>
      <c r="I101" s="8" t="inlineStr">
        <is>
          <t xml:space="preserve">+</t>
        </is>
      </c>
      <c r="J101" s="4">
        <v>0.856</v>
      </c>
    </row>
    <row r="102">
      <c r="A102" s="5" t="inlineStr">
        <is>
          <t xml:space="preserve">BPTM-55-26S075016</t>
        </is>
      </c>
      <c r="B102" s="6" t="inlineStr">
        <is>
          <t xml:space="preserve">BPTM-55-26S075016</t>
        </is>
      </c>
      <c r="C102" s="6" t="inlineStr">
        <is>
          <t xml:space="preserve">AHL3NVDRX7_1</t>
        </is>
      </c>
      <c r="D102" s="15" t="inlineStr">
        <is>
          <t xml:space="preserve">W101_MSH6_E04_17</t>
        </is>
      </c>
      <c r="E102" s="2">
        <v>5309</v>
      </c>
      <c r="F102" s="16" t="inlineStr">
        <is>
          <t xml:space="preserve">+</t>
        </is>
      </c>
      <c r="G102" s="4">
        <v>0.66</v>
      </c>
      <c r="H102" s="2">
        <v>3662</v>
      </c>
      <c r="I102" s="8" t="inlineStr">
        <is>
          <t xml:space="preserve">+</t>
        </is>
      </c>
      <c r="J102" s="4">
        <v>0.691</v>
      </c>
    </row>
    <row r="103">
      <c r="A103" s="5" t="inlineStr">
        <is>
          <t xml:space="preserve">BPTM-55-26S075016</t>
        </is>
      </c>
      <c r="B103" s="6" t="inlineStr">
        <is>
          <t xml:space="preserve">BPTM-55-26S075016</t>
        </is>
      </c>
      <c r="C103" s="6" t="inlineStr">
        <is>
          <t xml:space="preserve">AHL3NVDRX7_1</t>
        </is>
      </c>
      <c r="D103" s="15" t="inlineStr">
        <is>
          <t xml:space="preserve">W102_MSH6_E04_18</t>
        </is>
      </c>
      <c r="E103" s="2">
        <v>4610</v>
      </c>
      <c r="F103" s="16" t="inlineStr">
        <is>
          <t xml:space="preserve">+</t>
        </is>
      </c>
      <c r="G103" s="4">
        <v>0.573</v>
      </c>
      <c r="H103" s="2">
        <v>3367</v>
      </c>
      <c r="I103" s="8" t="inlineStr">
        <is>
          <t xml:space="preserve">+</t>
        </is>
      </c>
      <c r="J103" s="4">
        <v>0.636</v>
      </c>
    </row>
    <row r="104">
      <c r="A104" s="5" t="inlineStr">
        <is>
          <t xml:space="preserve">BPTM-55-26S075016</t>
        </is>
      </c>
      <c r="B104" s="6" t="inlineStr">
        <is>
          <t xml:space="preserve">BPTM-55-26S075016</t>
        </is>
      </c>
      <c r="C104" s="6" t="inlineStr">
        <is>
          <t xml:space="preserve">AHL3NVDRX7_1</t>
        </is>
      </c>
      <c r="D104" s="15" t="inlineStr">
        <is>
          <t xml:space="preserve">W103_MSH6_E04_19</t>
        </is>
      </c>
      <c r="E104" s="2">
        <v>1213</v>
      </c>
      <c r="F104" s="16" t="inlineStr">
        <is>
          <t xml:space="preserve">-</t>
        </is>
      </c>
      <c r="G104" s="4">
        <v>0.151</v>
      </c>
      <c r="H104" s="2">
        <v>851</v>
      </c>
      <c r="I104" s="8" t="inlineStr">
        <is>
          <t xml:space="preserve">-</t>
        </is>
      </c>
      <c r="J104" s="4">
        <v>0.161</v>
      </c>
    </row>
    <row r="105">
      <c r="A105" s="5" t="inlineStr">
        <is>
          <t xml:space="preserve">BPTM-55-26S075016</t>
        </is>
      </c>
      <c r="B105" s="6" t="inlineStr">
        <is>
          <t xml:space="preserve">BPTM-55-26S075016</t>
        </is>
      </c>
      <c r="C105" s="6" t="inlineStr">
        <is>
          <t xml:space="preserve">AHL3NVDRX7_1</t>
        </is>
      </c>
      <c r="D105" s="15" t="inlineStr">
        <is>
          <t xml:space="preserve">W104_MSH6_E04_20</t>
        </is>
      </c>
      <c r="E105" s="2">
        <v>6859</v>
      </c>
      <c r="F105" s="16" t="inlineStr">
        <is>
          <t xml:space="preserve">+</t>
        </is>
      </c>
      <c r="G105" s="4">
        <v>0.853</v>
      </c>
      <c r="H105" s="2">
        <v>4887</v>
      </c>
      <c r="I105" s="8" t="inlineStr">
        <is>
          <t xml:space="preserve">+</t>
        </is>
      </c>
      <c r="J105" s="4">
        <v>0.923</v>
      </c>
    </row>
    <row r="106">
      <c r="A106" s="5" t="inlineStr">
        <is>
          <t xml:space="preserve">BPTM-55-26S075016</t>
        </is>
      </c>
      <c r="B106" s="6" t="inlineStr">
        <is>
          <t xml:space="preserve">BPTM-55-26S075016</t>
        </is>
      </c>
      <c r="C106" s="6" t="inlineStr">
        <is>
          <t xml:space="preserve">AHL3NVDRX7_1</t>
        </is>
      </c>
      <c r="D106" s="15" t="inlineStr">
        <is>
          <t xml:space="preserve">W105_MSH6_E04_21</t>
        </is>
      </c>
      <c r="E106" s="2">
        <v>6498</v>
      </c>
      <c r="F106" s="16" t="inlineStr">
        <is>
          <t xml:space="preserve">+</t>
        </is>
      </c>
      <c r="G106" s="4">
        <v>0.808</v>
      </c>
      <c r="H106" s="2">
        <v>4519</v>
      </c>
      <c r="I106" s="8" t="inlineStr">
        <is>
          <t xml:space="preserve">+</t>
        </is>
      </c>
      <c r="J106" s="4">
        <v>0.853</v>
      </c>
    </row>
    <row r="107">
      <c r="A107" s="5" t="inlineStr">
        <is>
          <t xml:space="preserve">BPTM-55-26S075016</t>
        </is>
      </c>
      <c r="B107" s="6" t="inlineStr">
        <is>
          <t xml:space="preserve">BPTM-55-26S075016</t>
        </is>
      </c>
      <c r="C107" s="6" t="inlineStr">
        <is>
          <t xml:space="preserve">AHL3NVDRX7_1</t>
        </is>
      </c>
      <c r="D107" s="15" t="inlineStr">
        <is>
          <t xml:space="preserve">W106_MSH6_E04_22</t>
        </is>
      </c>
      <c r="E107" s="2">
        <v>6915</v>
      </c>
      <c r="F107" s="16" t="inlineStr">
        <is>
          <t xml:space="preserve">+</t>
        </is>
      </c>
      <c r="G107" s="4">
        <v>0.86</v>
      </c>
      <c r="H107" s="2">
        <v>4729</v>
      </c>
      <c r="I107" s="8" t="inlineStr">
        <is>
          <t xml:space="preserve">+</t>
        </is>
      </c>
      <c r="J107" s="4">
        <v>0.893</v>
      </c>
    </row>
    <row r="108">
      <c r="A108" s="5" t="inlineStr">
        <is>
          <t xml:space="preserve">BPTM-55-26S075016</t>
        </is>
      </c>
      <c r="B108" s="6" t="inlineStr">
        <is>
          <t xml:space="preserve">BPTM-55-26S075016</t>
        </is>
      </c>
      <c r="C108" s="6" t="inlineStr">
        <is>
          <t xml:space="preserve">AHL3NVDRX7_1</t>
        </is>
      </c>
      <c r="D108" s="15" t="inlineStr">
        <is>
          <t xml:space="preserve">W107_MSH6_E04_23</t>
        </is>
      </c>
      <c r="E108" s="2">
        <v>5796</v>
      </c>
      <c r="F108" s="16" t="inlineStr">
        <is>
          <t xml:space="preserve">+</t>
        </is>
      </c>
      <c r="G108" s="4">
        <v>0.721</v>
      </c>
      <c r="H108" s="2">
        <v>3937</v>
      </c>
      <c r="I108" s="8" t="inlineStr">
        <is>
          <t xml:space="preserve">+</t>
        </is>
      </c>
      <c r="J108" s="4">
        <v>0.743</v>
      </c>
    </row>
    <row r="109">
      <c r="A109" s="5" t="inlineStr">
        <is>
          <t xml:space="preserve">BPTM-55-26S075016</t>
        </is>
      </c>
      <c r="B109" s="6" t="inlineStr">
        <is>
          <t xml:space="preserve">BPTM-55-26S075016</t>
        </is>
      </c>
      <c r="C109" s="6" t="inlineStr">
        <is>
          <t xml:space="preserve">AHL3NVDRX7_1</t>
        </is>
      </c>
      <c r="D109" s="15" t="inlineStr">
        <is>
          <t xml:space="preserve">W108_MSH6_E04_24</t>
        </is>
      </c>
      <c r="E109" s="2">
        <v>10488</v>
      </c>
      <c r="F109" s="16" t="inlineStr">
        <is>
          <t xml:space="preserve">+</t>
        </is>
      </c>
      <c r="G109" s="4">
        <v>1.304</v>
      </c>
      <c r="H109" s="2">
        <v>6818</v>
      </c>
      <c r="I109" s="8" t="inlineStr">
        <is>
          <t xml:space="preserve">+</t>
        </is>
      </c>
      <c r="J109" s="4">
        <v>1.287</v>
      </c>
    </row>
    <row r="110">
      <c r="A110" s="5" t="inlineStr">
        <is>
          <t xml:space="preserve">BPTM-55-26S075016</t>
        </is>
      </c>
      <c r="B110" s="6" t="inlineStr">
        <is>
          <t xml:space="preserve">BPTM-55-26S075016</t>
        </is>
      </c>
      <c r="C110" s="6" t="inlineStr">
        <is>
          <t xml:space="preserve">AHL3NVDRX7_1</t>
        </is>
      </c>
      <c r="D110" s="15" t="inlineStr">
        <is>
          <t xml:space="preserve">W109_MSH6_E05_01</t>
        </is>
      </c>
      <c r="E110" s="2">
        <v>10483</v>
      </c>
      <c r="F110" s="16" t="inlineStr">
        <is>
          <t xml:space="preserve">+</t>
        </is>
      </c>
      <c r="G110" s="4">
        <v>1.304</v>
      </c>
      <c r="H110" s="2">
        <v>7210</v>
      </c>
      <c r="I110" s="8" t="inlineStr">
        <is>
          <t xml:space="preserve">+</t>
        </is>
      </c>
      <c r="J110" s="4">
        <v>1.361</v>
      </c>
    </row>
    <row r="111">
      <c r="A111" s="5" t="inlineStr">
        <is>
          <t xml:space="preserve">BPTM-55-26S075016</t>
        </is>
      </c>
      <c r="B111" s="6" t="inlineStr">
        <is>
          <t xml:space="preserve">BPTM-55-26S075016</t>
        </is>
      </c>
      <c r="C111" s="6" t="inlineStr">
        <is>
          <t xml:space="preserve">AHL3NVDRX7_1</t>
        </is>
      </c>
      <c r="D111" s="15" t="inlineStr">
        <is>
          <t xml:space="preserve">W110_MSH6_E05_02</t>
        </is>
      </c>
      <c r="E111" s="2">
        <v>9592</v>
      </c>
      <c r="F111" s="16" t="inlineStr">
        <is>
          <t xml:space="preserve">+</t>
        </is>
      </c>
      <c r="G111" s="4">
        <v>1.193</v>
      </c>
      <c r="H111" s="2">
        <v>6461</v>
      </c>
      <c r="I111" s="8" t="inlineStr">
        <is>
          <t xml:space="preserve">+</t>
        </is>
      </c>
      <c r="J111" s="4">
        <v>1.22</v>
      </c>
    </row>
    <row r="112">
      <c r="A112" s="5" t="inlineStr">
        <is>
          <t xml:space="preserve">BPTM-55-26S075016</t>
        </is>
      </c>
      <c r="B112" s="6" t="inlineStr">
        <is>
          <t xml:space="preserve">BPTM-55-26S075016</t>
        </is>
      </c>
      <c r="C112" s="6" t="inlineStr">
        <is>
          <t xml:space="preserve">AHL3NVDRX7_1</t>
        </is>
      </c>
      <c r="D112" s="15" t="inlineStr">
        <is>
          <t xml:space="preserve">W111_MSH6_E05_03</t>
        </is>
      </c>
      <c r="E112" s="2">
        <v>4692</v>
      </c>
      <c r="F112" s="16" t="inlineStr">
        <is>
          <t xml:space="preserve">+</t>
        </is>
      </c>
      <c r="G112" s="4">
        <v>0.583</v>
      </c>
      <c r="H112" s="2">
        <v>3139</v>
      </c>
      <c r="I112" s="8" t="inlineStr">
        <is>
          <t xml:space="preserve">+</t>
        </is>
      </c>
      <c r="J112" s="4">
        <v>0.593</v>
      </c>
    </row>
    <row r="113">
      <c r="A113" s="5" t="inlineStr">
        <is>
          <t xml:space="preserve">BPTM-55-26S075016</t>
        </is>
      </c>
      <c r="B113" s="6" t="inlineStr">
        <is>
          <t xml:space="preserve">BPTM-55-26S075016</t>
        </is>
      </c>
      <c r="C113" s="6" t="inlineStr">
        <is>
          <t xml:space="preserve">AHL3NVDRX7_1</t>
        </is>
      </c>
      <c r="D113" s="15" t="inlineStr">
        <is>
          <t xml:space="preserve">W112_MSH6_E06_01</t>
        </is>
      </c>
      <c r="E113" s="2">
        <v>12640</v>
      </c>
      <c r="F113" s="16" t="inlineStr">
        <is>
          <t xml:space="preserve">+</t>
        </is>
      </c>
      <c r="G113" s="4">
        <v>1.572</v>
      </c>
      <c r="H113" s="2">
        <v>8262</v>
      </c>
      <c r="I113" s="8" t="inlineStr">
        <is>
          <t xml:space="preserve">+</t>
        </is>
      </c>
      <c r="J113" s="4">
        <v>1.56</v>
      </c>
    </row>
    <row r="114">
      <c r="A114" s="5" t="inlineStr">
        <is>
          <t xml:space="preserve">BPTM-55-26S075016</t>
        </is>
      </c>
      <c r="B114" s="6" t="inlineStr">
        <is>
          <t xml:space="preserve">BPTM-55-26S075016</t>
        </is>
      </c>
      <c r="C114" s="6" t="inlineStr">
        <is>
          <t xml:space="preserve">AHL3NVDRX7_1</t>
        </is>
      </c>
      <c r="D114" s="15" t="inlineStr">
        <is>
          <t xml:space="preserve">W113_MSH6_E06_02</t>
        </is>
      </c>
      <c r="E114" s="2">
        <v>12058</v>
      </c>
      <c r="F114" s="16" t="inlineStr">
        <is>
          <t xml:space="preserve">+</t>
        </is>
      </c>
      <c r="G114" s="4">
        <v>1.499</v>
      </c>
      <c r="H114" s="2">
        <v>7503</v>
      </c>
      <c r="I114" s="8" t="inlineStr">
        <is>
          <t xml:space="preserve">+</t>
        </is>
      </c>
      <c r="J114" s="4">
        <v>1.416</v>
      </c>
    </row>
    <row r="115">
      <c r="A115" s="5" t="inlineStr">
        <is>
          <t xml:space="preserve">BPTM-55-26S075016</t>
        </is>
      </c>
      <c r="B115" s="6" t="inlineStr">
        <is>
          <t xml:space="preserve">BPTM-55-26S075016</t>
        </is>
      </c>
      <c r="C115" s="6" t="inlineStr">
        <is>
          <t xml:space="preserve">AHL3NVDRX7_1</t>
        </is>
      </c>
      <c r="D115" s="15" t="inlineStr">
        <is>
          <t xml:space="preserve">W114_MSH6_E07_01</t>
        </is>
      </c>
      <c r="E115" s="2">
        <v>4072</v>
      </c>
      <c r="F115" s="16" t="inlineStr">
        <is>
          <t xml:space="preserve">+</t>
        </is>
      </c>
      <c r="G115" s="4">
        <v>0.506</v>
      </c>
      <c r="H115" s="2">
        <v>2918</v>
      </c>
      <c r="I115" s="8" t="inlineStr">
        <is>
          <t xml:space="preserve">+</t>
        </is>
      </c>
      <c r="J115" s="4">
        <v>0.551</v>
      </c>
    </row>
    <row r="116">
      <c r="A116" s="5" t="inlineStr">
        <is>
          <t xml:space="preserve">BPTM-55-26S075016</t>
        </is>
      </c>
      <c r="B116" s="6" t="inlineStr">
        <is>
          <t xml:space="preserve">BPTM-55-26S075016</t>
        </is>
      </c>
      <c r="C116" s="6" t="inlineStr">
        <is>
          <t xml:space="preserve">AHL3NVDRX7_1</t>
        </is>
      </c>
      <c r="D116" s="15" t="inlineStr">
        <is>
          <t xml:space="preserve">W115_MSH6_E07_02</t>
        </is>
      </c>
      <c r="E116" s="2">
        <v>4844</v>
      </c>
      <c r="F116" s="16" t="inlineStr">
        <is>
          <t xml:space="preserve">+</t>
        </is>
      </c>
      <c r="G116" s="4">
        <v>0.602</v>
      </c>
      <c r="H116" s="2">
        <v>3443</v>
      </c>
      <c r="I116" s="8" t="inlineStr">
        <is>
          <t xml:space="preserve">+</t>
        </is>
      </c>
      <c r="J116" s="4">
        <v>0.65</v>
      </c>
    </row>
    <row r="117">
      <c r="A117" s="5" t="inlineStr">
        <is>
          <t xml:space="preserve">BPTM-55-26S075016</t>
        </is>
      </c>
      <c r="B117" s="6" t="inlineStr">
        <is>
          <t xml:space="preserve">BPTM-55-26S075016</t>
        </is>
      </c>
      <c r="C117" s="6" t="inlineStr">
        <is>
          <t xml:space="preserve">AHL3NVDRX7_1</t>
        </is>
      </c>
      <c r="D117" s="15" t="inlineStr">
        <is>
          <t xml:space="preserve">W116_MSH6_E07_03</t>
        </is>
      </c>
      <c r="E117" s="2">
        <v>6422</v>
      </c>
      <c r="F117" s="16" t="inlineStr">
        <is>
          <t xml:space="preserve">+</t>
        </is>
      </c>
      <c r="G117" s="4">
        <v>0.799</v>
      </c>
      <c r="H117" s="2">
        <v>4447</v>
      </c>
      <c r="I117" s="8" t="inlineStr">
        <is>
          <t xml:space="preserve">+</t>
        </is>
      </c>
      <c r="J117" s="4">
        <v>0.839</v>
      </c>
    </row>
    <row r="118">
      <c r="A118" s="5" t="inlineStr">
        <is>
          <t xml:space="preserve">BPTM-55-26S075016</t>
        </is>
      </c>
      <c r="B118" s="6" t="inlineStr">
        <is>
          <t xml:space="preserve">BPTM-55-26S075016</t>
        </is>
      </c>
      <c r="C118" s="6" t="inlineStr">
        <is>
          <t xml:space="preserve">AHL3NVDRX7_1</t>
        </is>
      </c>
      <c r="D118" s="15" t="inlineStr">
        <is>
          <t xml:space="preserve">W117_MSH6_E08-09_01</t>
        </is>
      </c>
      <c r="E118" s="2">
        <v>7011</v>
      </c>
      <c r="F118" s="16" t="inlineStr">
        <is>
          <t xml:space="preserve">+</t>
        </is>
      </c>
      <c r="G118" s="4">
        <v>0.872</v>
      </c>
      <c r="H118" s="2">
        <v>4860</v>
      </c>
      <c r="I118" s="8" t="inlineStr">
        <is>
          <t xml:space="preserve">+</t>
        </is>
      </c>
      <c r="J118" s="4">
        <v>0.917</v>
      </c>
    </row>
    <row r="119">
      <c r="A119" s="5" t="inlineStr">
        <is>
          <t xml:space="preserve">BPTM-55-26S075016</t>
        </is>
      </c>
      <c r="B119" s="6" t="inlineStr">
        <is>
          <t xml:space="preserve">BPTM-55-26S075016</t>
        </is>
      </c>
      <c r="C119" s="6" t="inlineStr">
        <is>
          <t xml:space="preserve">AHL3NVDRX7_1</t>
        </is>
      </c>
      <c r="D119" s="15" t="inlineStr">
        <is>
          <t xml:space="preserve">W118_MSH6_E08-09_02</t>
        </is>
      </c>
      <c r="E119" s="2">
        <v>4180</v>
      </c>
      <c r="F119" s="16" t="inlineStr">
        <is>
          <t xml:space="preserve">+</t>
        </is>
      </c>
      <c r="G119" s="4">
        <v>0.52</v>
      </c>
      <c r="H119" s="2">
        <v>2883</v>
      </c>
      <c r="I119" s="8" t="inlineStr">
        <is>
          <t xml:space="preserve">+</t>
        </is>
      </c>
      <c r="J119" s="4">
        <v>0.544</v>
      </c>
    </row>
    <row r="120">
      <c r="A120" s="5" t="inlineStr">
        <is>
          <t xml:space="preserve">BPTM-55-26S075016</t>
        </is>
      </c>
      <c r="B120" s="6" t="inlineStr">
        <is>
          <t xml:space="preserve">BPTM-55-26S075016</t>
        </is>
      </c>
      <c r="C120" s="6" t="inlineStr">
        <is>
          <t xml:space="preserve">AHL3NVDRX7_1</t>
        </is>
      </c>
      <c r="D120" s="15" t="inlineStr">
        <is>
          <t xml:space="preserve">W119_MSH6_E08-09_03</t>
        </is>
      </c>
      <c r="E120" s="2">
        <v>3091</v>
      </c>
      <c r="F120" s="16" t="inlineStr">
        <is>
          <t xml:space="preserve">+</t>
        </is>
      </c>
      <c r="G120" s="4">
        <v>0.384</v>
      </c>
      <c r="H120" s="2">
        <v>2213</v>
      </c>
      <c r="I120" s="8" t="inlineStr">
        <is>
          <t xml:space="preserve">+</t>
        </is>
      </c>
      <c r="J120" s="4">
        <v>0.418</v>
      </c>
    </row>
    <row r="121">
      <c r="A121" s="5" t="inlineStr">
        <is>
          <t xml:space="preserve">BPTM-55-26S075016</t>
        </is>
      </c>
      <c r="B121" s="6" t="inlineStr">
        <is>
          <t xml:space="preserve">BPTM-55-26S075016</t>
        </is>
      </c>
      <c r="C121" s="6" t="inlineStr">
        <is>
          <t xml:space="preserve">AHL3NVDRX7_1</t>
        </is>
      </c>
      <c r="D121" s="15" t="inlineStr">
        <is>
          <t xml:space="preserve">W120_MSH6_E08-09_04</t>
        </is>
      </c>
      <c r="E121" s="2">
        <v>1868</v>
      </c>
      <c r="F121" s="16" t="inlineStr">
        <is>
          <t xml:space="preserve">+</t>
        </is>
      </c>
      <c r="G121" s="4">
        <v>0.232</v>
      </c>
      <c r="H121" s="2">
        <v>1326</v>
      </c>
      <c r="I121" s="8" t="inlineStr">
        <is>
          <t xml:space="preserve">+</t>
        </is>
      </c>
      <c r="J121" s="4">
        <v>0.25</v>
      </c>
    </row>
    <row r="122">
      <c r="A122" s="5" t="inlineStr">
        <is>
          <t xml:space="preserve">BPTM-55-26S075016</t>
        </is>
      </c>
      <c r="B122" s="6" t="inlineStr">
        <is>
          <t xml:space="preserve">BPTM-55-26S075016</t>
        </is>
      </c>
      <c r="C122" s="6" t="inlineStr">
        <is>
          <t xml:space="preserve">AHL3NVDRX7_1</t>
        </is>
      </c>
      <c r="D122" s="15" t="inlineStr">
        <is>
          <t xml:space="preserve">W121_MSH6_E08-09_05</t>
        </is>
      </c>
      <c r="E122" s="2">
        <v>4704</v>
      </c>
      <c r="F122" s="16" t="inlineStr">
        <is>
          <t xml:space="preserve">+</t>
        </is>
      </c>
      <c r="G122" s="4">
        <v>0.585</v>
      </c>
      <c r="H122" s="2">
        <v>3381</v>
      </c>
      <c r="I122" s="8" t="inlineStr">
        <is>
          <t xml:space="preserve">+</t>
        </is>
      </c>
      <c r="J122" s="4">
        <v>0.638</v>
      </c>
    </row>
    <row r="123">
      <c r="A123" s="5" t="inlineStr">
        <is>
          <t xml:space="preserve">BPTM-55-26S075016</t>
        </is>
      </c>
      <c r="B123" s="6" t="inlineStr">
        <is>
          <t xml:space="preserve">BPTM-55-26S075016</t>
        </is>
      </c>
      <c r="C123" s="6" t="inlineStr">
        <is>
          <t xml:space="preserve">AHL3NVDRX7_1</t>
        </is>
      </c>
      <c r="D123" s="15" t="inlineStr">
        <is>
          <t xml:space="preserve">W122_MSH6_E10_01</t>
        </is>
      </c>
      <c r="E123" s="2">
        <v>11102</v>
      </c>
      <c r="F123" s="16" t="inlineStr">
        <is>
          <t xml:space="preserve">+</t>
        </is>
      </c>
      <c r="G123" s="4">
        <v>1.381</v>
      </c>
      <c r="H123" s="2">
        <v>8496</v>
      </c>
      <c r="I123" s="8" t="inlineStr">
        <is>
          <t xml:space="preserve">+</t>
        </is>
      </c>
      <c r="J123" s="4">
        <v>1.604</v>
      </c>
    </row>
    <row r="124">
      <c r="A124" s="5" t="inlineStr">
        <is>
          <t xml:space="preserve">BPTM-55-26S075016</t>
        </is>
      </c>
      <c r="B124" s="6" t="inlineStr">
        <is>
          <t xml:space="preserve">BPTM-55-26S075016</t>
        </is>
      </c>
      <c r="C124" s="6" t="inlineStr">
        <is>
          <t xml:space="preserve">AHL3NVDRX7_1</t>
        </is>
      </c>
      <c r="D124" s="15" t="inlineStr">
        <is>
          <t xml:space="preserve">W123_MSH6_E10_02</t>
        </is>
      </c>
      <c r="E124" s="2">
        <v>6861</v>
      </c>
      <c r="F124" s="16" t="inlineStr">
        <is>
          <t xml:space="preserve">+</t>
        </is>
      </c>
      <c r="G124" s="4">
        <v>0.853</v>
      </c>
      <c r="H124" s="2">
        <v>4415</v>
      </c>
      <c r="I124" s="8" t="inlineStr">
        <is>
          <t xml:space="preserve">+</t>
        </is>
      </c>
      <c r="J124" s="4">
        <v>0.833</v>
      </c>
    </row>
    <row r="125">
      <c r="A125" s="5" t="inlineStr">
        <is>
          <t xml:space="preserve">BPTM-55-26S075016</t>
        </is>
      </c>
      <c r="B125" s="6" t="inlineStr">
        <is>
          <t xml:space="preserve">BPTM-55-26S075016</t>
        </is>
      </c>
      <c r="C125" s="6" t="inlineStr">
        <is>
          <t xml:space="preserve">AHL3NVDRX7_1</t>
        </is>
      </c>
      <c r="D125" s="15" t="inlineStr">
        <is>
          <t xml:space="preserve">W124_MLH1_E01_01</t>
        </is>
      </c>
      <c r="E125" s="2">
        <v>5837</v>
      </c>
      <c r="F125" s="16" t="inlineStr">
        <is>
          <t xml:space="preserve">+</t>
        </is>
      </c>
      <c r="G125" s="4">
        <v>0.726</v>
      </c>
      <c r="H125" s="2">
        <v>3557</v>
      </c>
      <c r="I125" s="8" t="inlineStr">
        <is>
          <t xml:space="preserve">+</t>
        </is>
      </c>
      <c r="J125" s="4">
        <v>0.671</v>
      </c>
    </row>
    <row r="126">
      <c r="A126" s="5" t="inlineStr">
        <is>
          <t xml:space="preserve">BPTM-55-26S075016</t>
        </is>
      </c>
      <c r="B126" s="6" t="inlineStr">
        <is>
          <t xml:space="preserve">BPTM-55-26S075016</t>
        </is>
      </c>
      <c r="C126" s="6" t="inlineStr">
        <is>
          <t xml:space="preserve">AHL3NVDRX7_1</t>
        </is>
      </c>
      <c r="D126" s="15" t="inlineStr">
        <is>
          <t xml:space="preserve">W125_MLH1_E01_02</t>
        </is>
      </c>
      <c r="E126" s="2">
        <v>12227</v>
      </c>
      <c r="F126" s="16" t="inlineStr">
        <is>
          <t xml:space="preserve">+</t>
        </is>
      </c>
      <c r="G126" s="4">
        <v>1.52</v>
      </c>
      <c r="H126" s="2">
        <v>7438</v>
      </c>
      <c r="I126" s="8" t="inlineStr">
        <is>
          <t xml:space="preserve">+</t>
        </is>
      </c>
      <c r="J126" s="4">
        <v>1.404</v>
      </c>
    </row>
    <row r="127">
      <c r="A127" s="5" t="inlineStr">
        <is>
          <t xml:space="preserve">BPTM-55-26S075016</t>
        </is>
      </c>
      <c r="B127" s="6" t="inlineStr">
        <is>
          <t xml:space="preserve">BPTM-55-26S075016</t>
        </is>
      </c>
      <c r="C127" s="6" t="inlineStr">
        <is>
          <t xml:space="preserve">AHL3NVDRX7_1</t>
        </is>
      </c>
      <c r="D127" s="15" t="inlineStr">
        <is>
          <t xml:space="preserve">W126_MLH1_E02_01</t>
        </is>
      </c>
      <c r="E127" s="2">
        <v>6193</v>
      </c>
      <c r="F127" s="16" t="inlineStr">
        <is>
          <t xml:space="preserve">+</t>
        </is>
      </c>
      <c r="G127" s="4">
        <v>0.77</v>
      </c>
      <c r="H127" s="2">
        <v>4120</v>
      </c>
      <c r="I127" s="8" t="inlineStr">
        <is>
          <t xml:space="preserve">+</t>
        </is>
      </c>
      <c r="J127" s="4">
        <v>0.778</v>
      </c>
    </row>
    <row r="128">
      <c r="A128" s="5" t="inlineStr">
        <is>
          <t xml:space="preserve">BPTM-55-26S075016</t>
        </is>
      </c>
      <c r="B128" s="6" t="inlineStr">
        <is>
          <t xml:space="preserve">BPTM-55-26S075016</t>
        </is>
      </c>
      <c r="C128" s="6" t="inlineStr">
        <is>
          <t xml:space="preserve">AHL3NVDRX7_1</t>
        </is>
      </c>
      <c r="D128" s="15" t="inlineStr">
        <is>
          <t xml:space="preserve">W127_MLH1_E02_02</t>
        </is>
      </c>
      <c r="E128" s="2">
        <v>14224</v>
      </c>
      <c r="F128" s="16" t="inlineStr">
        <is>
          <t xml:space="preserve">+</t>
        </is>
      </c>
      <c r="G128" s="4">
        <v>1.769</v>
      </c>
      <c r="H128" s="2">
        <v>9249</v>
      </c>
      <c r="I128" s="8" t="inlineStr">
        <is>
          <t xml:space="preserve">+</t>
        </is>
      </c>
      <c r="J128" s="4">
        <v>1.746</v>
      </c>
    </row>
    <row r="129">
      <c r="A129" s="5" t="inlineStr">
        <is>
          <t xml:space="preserve">BPTM-55-26S075016</t>
        </is>
      </c>
      <c r="B129" s="6" t="inlineStr">
        <is>
          <t xml:space="preserve">BPTM-55-26S075016</t>
        </is>
      </c>
      <c r="C129" s="6" t="inlineStr">
        <is>
          <t xml:space="preserve">AHL3NVDRX7_1</t>
        </is>
      </c>
      <c r="D129" s="15" t="inlineStr">
        <is>
          <t xml:space="preserve">W128_MLH1_E03_01</t>
        </is>
      </c>
      <c r="E129" s="2">
        <v>4603</v>
      </c>
      <c r="F129" s="16" t="inlineStr">
        <is>
          <t xml:space="preserve">+</t>
        </is>
      </c>
      <c r="G129" s="4">
        <v>0.572</v>
      </c>
      <c r="H129" s="2">
        <v>3204</v>
      </c>
      <c r="I129" s="8" t="inlineStr">
        <is>
          <t xml:space="preserve">+</t>
        </is>
      </c>
      <c r="J129" s="4">
        <v>0.605</v>
      </c>
    </row>
    <row r="130">
      <c r="A130" s="5" t="inlineStr">
        <is>
          <t xml:space="preserve">BPTM-55-26S075016</t>
        </is>
      </c>
      <c r="B130" s="6" t="inlineStr">
        <is>
          <t xml:space="preserve">BPTM-55-26S075016</t>
        </is>
      </c>
      <c r="C130" s="6" t="inlineStr">
        <is>
          <t xml:space="preserve">AHL3NVDRX7_1</t>
        </is>
      </c>
      <c r="D130" s="15" t="inlineStr">
        <is>
          <t xml:space="preserve">W129_MLH1_E03_02</t>
        </is>
      </c>
      <c r="E130" s="2">
        <v>16789</v>
      </c>
      <c r="F130" s="16" t="inlineStr">
        <is>
          <t xml:space="preserve">+</t>
        </is>
      </c>
      <c r="G130" s="4">
        <v>2.088</v>
      </c>
      <c r="H130" s="2">
        <v>10623</v>
      </c>
      <c r="I130" s="8" t="inlineStr">
        <is>
          <t xml:space="preserve">+</t>
        </is>
      </c>
      <c r="J130" s="4">
        <v>2.005</v>
      </c>
    </row>
    <row r="131">
      <c r="A131" s="5" t="inlineStr">
        <is>
          <t xml:space="preserve">BPTM-55-26S075016</t>
        </is>
      </c>
      <c r="B131" s="6" t="inlineStr">
        <is>
          <t xml:space="preserve">BPTM-55-26S075016</t>
        </is>
      </c>
      <c r="C131" s="6" t="inlineStr">
        <is>
          <t xml:space="preserve">AHL3NVDRX7_1</t>
        </is>
      </c>
      <c r="D131" s="15" t="inlineStr">
        <is>
          <t xml:space="preserve">W130_MLH1_E04_01</t>
        </is>
      </c>
      <c r="E131" s="2">
        <v>11515</v>
      </c>
      <c r="F131" s="16" t="inlineStr">
        <is>
          <t xml:space="preserve">+</t>
        </is>
      </c>
      <c r="G131" s="4">
        <v>1.432</v>
      </c>
      <c r="H131" s="2">
        <v>7423</v>
      </c>
      <c r="I131" s="8" t="inlineStr">
        <is>
          <t xml:space="preserve">+</t>
        </is>
      </c>
      <c r="J131" s="4">
        <v>1.401</v>
      </c>
    </row>
    <row r="132">
      <c r="A132" s="5" t="inlineStr">
        <is>
          <t xml:space="preserve">BPTM-55-26S075016</t>
        </is>
      </c>
      <c r="B132" s="6" t="inlineStr">
        <is>
          <t xml:space="preserve">BPTM-55-26S075016</t>
        </is>
      </c>
      <c r="C132" s="6" t="inlineStr">
        <is>
          <t xml:space="preserve">AHL3NVDRX7_1</t>
        </is>
      </c>
      <c r="D132" s="15" t="inlineStr">
        <is>
          <t xml:space="preserve">W131_MLH1_E04_02</t>
        </is>
      </c>
      <c r="E132" s="2">
        <v>4242</v>
      </c>
      <c r="F132" s="16" t="inlineStr">
        <is>
          <t xml:space="preserve">+</t>
        </is>
      </c>
      <c r="G132" s="4">
        <v>0.528</v>
      </c>
      <c r="H132" s="2">
        <v>2847</v>
      </c>
      <c r="I132" s="8" t="inlineStr">
        <is>
          <t xml:space="preserve">+</t>
        </is>
      </c>
      <c r="J132" s="4">
        <v>0.537</v>
      </c>
    </row>
    <row r="133">
      <c r="A133" s="5" t="inlineStr">
        <is>
          <t xml:space="preserve">BPTM-55-26S075016</t>
        </is>
      </c>
      <c r="B133" s="6" t="inlineStr">
        <is>
          <t xml:space="preserve">BPTM-55-26S075016</t>
        </is>
      </c>
      <c r="C133" s="6" t="inlineStr">
        <is>
          <t xml:space="preserve">AHL3NVDRX7_1</t>
        </is>
      </c>
      <c r="D133" s="15" t="inlineStr">
        <is>
          <t xml:space="preserve">W132_MLH1_E05_01</t>
        </is>
      </c>
      <c r="E133" s="2">
        <v>4984</v>
      </c>
      <c r="F133" s="16" t="inlineStr">
        <is>
          <t xml:space="preserve">+</t>
        </is>
      </c>
      <c r="G133" s="4">
        <v>0.62</v>
      </c>
      <c r="H133" s="2">
        <v>3534</v>
      </c>
      <c r="I133" s="8" t="inlineStr">
        <is>
          <t xml:space="preserve">+</t>
        </is>
      </c>
      <c r="J133" s="4">
        <v>0.667</v>
      </c>
    </row>
    <row r="134">
      <c r="A134" s="5" t="inlineStr">
        <is>
          <t xml:space="preserve">BPTM-55-26S075016</t>
        </is>
      </c>
      <c r="B134" s="6" t="inlineStr">
        <is>
          <t xml:space="preserve">BPTM-55-26S075016</t>
        </is>
      </c>
      <c r="C134" s="6" t="inlineStr">
        <is>
          <t xml:space="preserve">AHL3NVDRX7_1</t>
        </is>
      </c>
      <c r="D134" s="15" t="inlineStr">
        <is>
          <t xml:space="preserve">W133_MLH1_E05_02</t>
        </is>
      </c>
      <c r="E134" s="2">
        <v>5985</v>
      </c>
      <c r="F134" s="16" t="inlineStr">
        <is>
          <t xml:space="preserve">+</t>
        </is>
      </c>
      <c r="G134" s="4">
        <v>0.744</v>
      </c>
      <c r="H134" s="2">
        <v>4096</v>
      </c>
      <c r="I134" s="8" t="inlineStr">
        <is>
          <t xml:space="preserve">+</t>
        </is>
      </c>
      <c r="J134" s="4">
        <v>0.773</v>
      </c>
    </row>
    <row r="135">
      <c r="A135" s="5" t="inlineStr">
        <is>
          <t xml:space="preserve">BPTM-55-26S075016</t>
        </is>
      </c>
      <c r="B135" s="6" t="inlineStr">
        <is>
          <t xml:space="preserve">BPTM-55-26S075016</t>
        </is>
      </c>
      <c r="C135" s="6" t="inlineStr">
        <is>
          <t xml:space="preserve">AHL3NVDRX7_1</t>
        </is>
      </c>
      <c r="D135" s="15" t="inlineStr">
        <is>
          <t xml:space="preserve">W134_MLH1_E06_01</t>
        </is>
      </c>
      <c r="E135" s="2">
        <v>5200</v>
      </c>
      <c r="F135" s="16" t="inlineStr">
        <is>
          <t xml:space="preserve">+</t>
        </is>
      </c>
      <c r="G135" s="4">
        <v>0.647</v>
      </c>
      <c r="H135" s="2">
        <v>3652</v>
      </c>
      <c r="I135" s="8" t="inlineStr">
        <is>
          <t xml:space="preserve">+</t>
        </is>
      </c>
      <c r="J135" s="4">
        <v>0.689</v>
      </c>
    </row>
    <row r="136">
      <c r="A136" s="5" t="inlineStr">
        <is>
          <t xml:space="preserve">BPTM-55-26S075016</t>
        </is>
      </c>
      <c r="B136" s="6" t="inlineStr">
        <is>
          <t xml:space="preserve">BPTM-55-26S075016</t>
        </is>
      </c>
      <c r="C136" s="6" t="inlineStr">
        <is>
          <t xml:space="preserve">AHL3NVDRX7_1</t>
        </is>
      </c>
      <c r="D136" s="15" t="inlineStr">
        <is>
          <t xml:space="preserve">W135_MLH1_E06_02</t>
        </is>
      </c>
      <c r="E136" s="2">
        <v>10804</v>
      </c>
      <c r="F136" s="16" t="inlineStr">
        <is>
          <t xml:space="preserve">+</t>
        </is>
      </c>
      <c r="G136" s="4">
        <v>1.344</v>
      </c>
      <c r="H136" s="2">
        <v>7566</v>
      </c>
      <c r="I136" s="8" t="inlineStr">
        <is>
          <t xml:space="preserve">+</t>
        </is>
      </c>
      <c r="J136" s="4">
        <v>1.428</v>
      </c>
    </row>
    <row r="137">
      <c r="A137" s="5" t="inlineStr">
        <is>
          <t xml:space="preserve">BPTM-55-26S075016</t>
        </is>
      </c>
      <c r="B137" s="6" t="inlineStr">
        <is>
          <t xml:space="preserve">BPTM-55-26S075016</t>
        </is>
      </c>
      <c r="C137" s="6" t="inlineStr">
        <is>
          <t xml:space="preserve">AHL3NVDRX7_1</t>
        </is>
      </c>
      <c r="D137" s="15" t="inlineStr">
        <is>
          <t xml:space="preserve">W136_MLH1_E07_01</t>
        </is>
      </c>
      <c r="E137" s="2">
        <v>5312</v>
      </c>
      <c r="F137" s="16" t="inlineStr">
        <is>
          <t xml:space="preserve">+</t>
        </is>
      </c>
      <c r="G137" s="4">
        <v>0.661</v>
      </c>
      <c r="H137" s="2">
        <v>3654</v>
      </c>
      <c r="I137" s="8" t="inlineStr">
        <is>
          <t xml:space="preserve">+</t>
        </is>
      </c>
      <c r="J137" s="4">
        <v>0.69</v>
      </c>
    </row>
    <row r="138">
      <c r="A138" s="5" t="inlineStr">
        <is>
          <t xml:space="preserve">BPTM-55-26S075016</t>
        </is>
      </c>
      <c r="B138" s="6" t="inlineStr">
        <is>
          <t xml:space="preserve">BPTM-55-26S075016</t>
        </is>
      </c>
      <c r="C138" s="6" t="inlineStr">
        <is>
          <t xml:space="preserve">AHL3NVDRX7_1</t>
        </is>
      </c>
      <c r="D138" s="15" t="inlineStr">
        <is>
          <t xml:space="preserve">W137_MLH1_E08_01</t>
        </is>
      </c>
      <c r="E138" s="2">
        <v>15126</v>
      </c>
      <c r="F138" s="16" t="inlineStr">
        <is>
          <t xml:space="preserve">+</t>
        </is>
      </c>
      <c r="G138" s="4">
        <v>1.881</v>
      </c>
      <c r="H138" s="2">
        <v>9292</v>
      </c>
      <c r="I138" s="8" t="inlineStr">
        <is>
          <t xml:space="preserve">+</t>
        </is>
      </c>
      <c r="J138" s="4">
        <v>1.754</v>
      </c>
    </row>
    <row r="139">
      <c r="A139" s="5" t="inlineStr">
        <is>
          <t xml:space="preserve">BPTM-55-26S075016</t>
        </is>
      </c>
      <c r="B139" s="6" t="inlineStr">
        <is>
          <t xml:space="preserve">BPTM-55-26S075016</t>
        </is>
      </c>
      <c r="C139" s="6" t="inlineStr">
        <is>
          <t xml:space="preserve">AHL3NVDRX7_1</t>
        </is>
      </c>
      <c r="D139" s="15" t="inlineStr">
        <is>
          <t xml:space="preserve">W138_MLH1_E08_02</t>
        </is>
      </c>
      <c r="E139" s="2">
        <v>6768</v>
      </c>
      <c r="F139" s="16" t="inlineStr">
        <is>
          <t xml:space="preserve">+</t>
        </is>
      </c>
      <c r="G139" s="4">
        <v>0.842</v>
      </c>
      <c r="H139" s="2">
        <v>4665</v>
      </c>
      <c r="I139" s="8" t="inlineStr">
        <is>
          <t xml:space="preserve">+</t>
        </is>
      </c>
      <c r="J139" s="4">
        <v>0.881</v>
      </c>
    </row>
    <row r="140">
      <c r="A140" s="5" t="inlineStr">
        <is>
          <t xml:space="preserve">BPTM-55-26S075016</t>
        </is>
      </c>
      <c r="B140" s="6" t="inlineStr">
        <is>
          <t xml:space="preserve">BPTM-55-26S075016</t>
        </is>
      </c>
      <c r="C140" s="6" t="inlineStr">
        <is>
          <t xml:space="preserve">AHL3NVDRX7_1</t>
        </is>
      </c>
      <c r="D140" s="15" t="inlineStr">
        <is>
          <t xml:space="preserve">W139_MLH1_E09_01</t>
        </is>
      </c>
      <c r="E140" s="2">
        <v>7755</v>
      </c>
      <c r="F140" s="16" t="inlineStr">
        <is>
          <t xml:space="preserve">+</t>
        </is>
      </c>
      <c r="G140" s="4">
        <v>0.964</v>
      </c>
      <c r="H140" s="2">
        <v>5421</v>
      </c>
      <c r="I140" s="8" t="inlineStr">
        <is>
          <t xml:space="preserve">+</t>
        </is>
      </c>
      <c r="J140" s="4">
        <v>1.023</v>
      </c>
    </row>
    <row r="141">
      <c r="A141" s="5" t="inlineStr">
        <is>
          <t xml:space="preserve">BPTM-55-26S075016</t>
        </is>
      </c>
      <c r="B141" s="6" t="inlineStr">
        <is>
          <t xml:space="preserve">BPTM-55-26S075016</t>
        </is>
      </c>
      <c r="C141" s="6" t="inlineStr">
        <is>
          <t xml:space="preserve">AHL3NVDRX7_1</t>
        </is>
      </c>
      <c r="D141" s="15" t="inlineStr">
        <is>
          <t xml:space="preserve">W140_MLH1_E09_02</t>
        </is>
      </c>
      <c r="E141" s="2">
        <v>12768</v>
      </c>
      <c r="F141" s="16" t="inlineStr">
        <is>
          <t xml:space="preserve">+</t>
        </is>
      </c>
      <c r="G141" s="4">
        <v>1.588</v>
      </c>
      <c r="H141" s="2">
        <v>8170</v>
      </c>
      <c r="I141" s="8" t="inlineStr">
        <is>
          <t xml:space="preserve">+</t>
        </is>
      </c>
      <c r="J141" s="4">
        <v>1.542</v>
      </c>
    </row>
    <row r="142">
      <c r="A142" s="5" t="inlineStr">
        <is>
          <t xml:space="preserve">BPTM-55-26S075016</t>
        </is>
      </c>
      <c r="B142" s="6" t="inlineStr">
        <is>
          <t xml:space="preserve">BPTM-55-26S075016</t>
        </is>
      </c>
      <c r="C142" s="6" t="inlineStr">
        <is>
          <t xml:space="preserve">AHL3NVDRX7_1</t>
        </is>
      </c>
      <c r="D142" s="15" t="inlineStr">
        <is>
          <t xml:space="preserve">W141_MLH1_E10_01</t>
        </is>
      </c>
      <c r="E142" s="2">
        <v>6452</v>
      </c>
      <c r="F142" s="16" t="inlineStr">
        <is>
          <t xml:space="preserve">+</t>
        </is>
      </c>
      <c r="G142" s="4">
        <v>0.802</v>
      </c>
      <c r="H142" s="2">
        <v>4302</v>
      </c>
      <c r="I142" s="8" t="inlineStr">
        <is>
          <t xml:space="preserve">+</t>
        </is>
      </c>
      <c r="J142" s="4">
        <v>0.812</v>
      </c>
    </row>
    <row r="143">
      <c r="A143" s="5" t="inlineStr">
        <is>
          <t xml:space="preserve">BPTM-55-26S075016</t>
        </is>
      </c>
      <c r="B143" s="6" t="inlineStr">
        <is>
          <t xml:space="preserve">BPTM-55-26S075016</t>
        </is>
      </c>
      <c r="C143" s="6" t="inlineStr">
        <is>
          <t xml:space="preserve">AHL3NVDRX7_1</t>
        </is>
      </c>
      <c r="D143" s="15" t="inlineStr">
        <is>
          <t xml:space="preserve">W142_MLH1_E10_02</t>
        </is>
      </c>
      <c r="E143" s="2">
        <v>10548</v>
      </c>
      <c r="F143" s="16" t="inlineStr">
        <is>
          <t xml:space="preserve">+</t>
        </is>
      </c>
      <c r="G143" s="4">
        <v>1.312</v>
      </c>
      <c r="H143" s="2">
        <v>6625</v>
      </c>
      <c r="I143" s="8" t="inlineStr">
        <is>
          <t xml:space="preserve">+</t>
        </is>
      </c>
      <c r="J143" s="4">
        <v>1.251</v>
      </c>
    </row>
    <row r="144">
      <c r="A144" s="5" t="inlineStr">
        <is>
          <t xml:space="preserve">BPTM-55-26S075016</t>
        </is>
      </c>
      <c r="B144" s="6" t="inlineStr">
        <is>
          <t xml:space="preserve">BPTM-55-26S075016</t>
        </is>
      </c>
      <c r="C144" s="6" t="inlineStr">
        <is>
          <t xml:space="preserve">AHL3NVDRX7_1</t>
        </is>
      </c>
      <c r="D144" s="15" t="inlineStr">
        <is>
          <t xml:space="preserve">W143_MLH1_E11_01</t>
        </is>
      </c>
      <c r="E144" s="2">
        <v>5847</v>
      </c>
      <c r="F144" s="16" t="inlineStr">
        <is>
          <t xml:space="preserve">+</t>
        </is>
      </c>
      <c r="G144" s="4">
        <v>0.727</v>
      </c>
      <c r="H144" s="2">
        <v>3752</v>
      </c>
      <c r="I144" s="8" t="inlineStr">
        <is>
          <t xml:space="preserve">+</t>
        </is>
      </c>
      <c r="J144" s="4">
        <v>0.708</v>
      </c>
    </row>
    <row r="145">
      <c r="A145" s="5" t="inlineStr">
        <is>
          <t xml:space="preserve">BPTM-55-26S075016</t>
        </is>
      </c>
      <c r="B145" s="6" t="inlineStr">
        <is>
          <t xml:space="preserve">BPTM-55-26S075016</t>
        </is>
      </c>
      <c r="C145" s="6" t="inlineStr">
        <is>
          <t xml:space="preserve">AHL3NVDRX7_1</t>
        </is>
      </c>
      <c r="D145" s="15" t="inlineStr">
        <is>
          <t xml:space="preserve">W144_MLH1_E11_02</t>
        </is>
      </c>
      <c r="E145" s="2">
        <v>5295</v>
      </c>
      <c r="F145" s="16" t="inlineStr">
        <is>
          <t xml:space="preserve">+</t>
        </is>
      </c>
      <c r="G145" s="4">
        <v>0.658</v>
      </c>
      <c r="H145" s="2">
        <v>3379</v>
      </c>
      <c r="I145" s="8" t="inlineStr">
        <is>
          <t xml:space="preserve">+</t>
        </is>
      </c>
      <c r="J145" s="4">
        <v>0.638</v>
      </c>
    </row>
    <row r="146">
      <c r="A146" s="5" t="inlineStr">
        <is>
          <t xml:space="preserve">BPTM-55-26S075016</t>
        </is>
      </c>
      <c r="B146" s="6" t="inlineStr">
        <is>
          <t xml:space="preserve">BPTM-55-26S075016</t>
        </is>
      </c>
      <c r="C146" s="6" t="inlineStr">
        <is>
          <t xml:space="preserve">AHL3NVDRX7_1</t>
        </is>
      </c>
      <c r="D146" s="15" t="inlineStr">
        <is>
          <t xml:space="preserve">W145_MLH1_E12_01</t>
        </is>
      </c>
      <c r="E146" s="2">
        <v>669</v>
      </c>
      <c r="F146" s="16" t="inlineStr">
        <is>
          <t xml:space="preserve">-</t>
        </is>
      </c>
      <c r="G146" s="4">
        <v>0.083</v>
      </c>
      <c r="H146" s="2">
        <v>589</v>
      </c>
      <c r="I146" s="8" t="inlineStr">
        <is>
          <t xml:space="preserve">-</t>
        </is>
      </c>
      <c r="J146" s="4">
        <v>0.111</v>
      </c>
    </row>
    <row r="147">
      <c r="A147" s="5" t="inlineStr">
        <is>
          <t xml:space="preserve">BPTM-55-26S075016</t>
        </is>
      </c>
      <c r="B147" s="6" t="inlineStr">
        <is>
          <t xml:space="preserve">BPTM-55-26S075016</t>
        </is>
      </c>
      <c r="C147" s="6" t="inlineStr">
        <is>
          <t xml:space="preserve">AHL3NVDRX7_1</t>
        </is>
      </c>
      <c r="D147" s="15" t="inlineStr">
        <is>
          <t xml:space="preserve">W146_MLH1_E12_02</t>
        </is>
      </c>
      <c r="E147" s="2">
        <v>8592</v>
      </c>
      <c r="F147" s="16" t="inlineStr">
        <is>
          <t xml:space="preserve">+</t>
        </is>
      </c>
      <c r="G147" s="4">
        <v>1.068</v>
      </c>
      <c r="H147" s="2">
        <v>5768</v>
      </c>
      <c r="I147" s="8" t="inlineStr">
        <is>
          <t xml:space="preserve">+</t>
        </is>
      </c>
      <c r="J147" s="4">
        <v>1.089</v>
      </c>
    </row>
    <row r="148">
      <c r="A148" s="5" t="inlineStr">
        <is>
          <t xml:space="preserve">BPTM-55-26S075016</t>
        </is>
      </c>
      <c r="B148" s="6" t="inlineStr">
        <is>
          <t xml:space="preserve">BPTM-55-26S075016</t>
        </is>
      </c>
      <c r="C148" s="6" t="inlineStr">
        <is>
          <t xml:space="preserve">AHL3NVDRX7_1</t>
        </is>
      </c>
      <c r="D148" s="15" t="inlineStr">
        <is>
          <t xml:space="preserve">W147_MLH1_E12_03</t>
        </is>
      </c>
      <c r="E148" s="2">
        <v>6027</v>
      </c>
      <c r="F148" s="16" t="inlineStr">
        <is>
          <t xml:space="preserve">+</t>
        </is>
      </c>
      <c r="G148" s="4">
        <v>0.749</v>
      </c>
      <c r="H148" s="2">
        <v>3997</v>
      </c>
      <c r="I148" s="8" t="inlineStr">
        <is>
          <t xml:space="preserve">+</t>
        </is>
      </c>
      <c r="J148" s="4">
        <v>0.755</v>
      </c>
    </row>
    <row r="149">
      <c r="A149" s="5" t="inlineStr">
        <is>
          <t xml:space="preserve">BPTM-55-26S075016</t>
        </is>
      </c>
      <c r="B149" s="6" t="inlineStr">
        <is>
          <t xml:space="preserve">BPTM-55-26S075016</t>
        </is>
      </c>
      <c r="C149" s="6" t="inlineStr">
        <is>
          <t xml:space="preserve">AHL3NVDRX7_1</t>
        </is>
      </c>
      <c r="D149" s="15" t="inlineStr">
        <is>
          <t xml:space="preserve">W148_MLH1_E12_04</t>
        </is>
      </c>
      <c r="E149" s="2">
        <v>4684</v>
      </c>
      <c r="F149" s="16" t="inlineStr">
        <is>
          <t xml:space="preserve">+</t>
        </is>
      </c>
      <c r="G149" s="4">
        <v>0.582</v>
      </c>
      <c r="H149" s="2">
        <v>3340</v>
      </c>
      <c r="I149" s="8" t="inlineStr">
        <is>
          <t xml:space="preserve">+</t>
        </is>
      </c>
      <c r="J149" s="4">
        <v>0.63</v>
      </c>
    </row>
    <row r="150">
      <c r="A150" s="5" t="inlineStr">
        <is>
          <t xml:space="preserve">BPTM-55-26S075016</t>
        </is>
      </c>
      <c r="B150" s="6" t="inlineStr">
        <is>
          <t xml:space="preserve">BPTM-55-26S075016</t>
        </is>
      </c>
      <c r="C150" s="6" t="inlineStr">
        <is>
          <t xml:space="preserve">AHL3NVDRX7_1</t>
        </is>
      </c>
      <c r="D150" s="15" t="inlineStr">
        <is>
          <t xml:space="preserve">W149_MLH1_E13_01</t>
        </is>
      </c>
      <c r="E150" s="2">
        <v>2484</v>
      </c>
      <c r="F150" s="16" t="inlineStr">
        <is>
          <t xml:space="preserve">+</t>
        </is>
      </c>
      <c r="G150" s="4">
        <v>0.309</v>
      </c>
      <c r="H150" s="2">
        <v>1814</v>
      </c>
      <c r="I150" s="8" t="inlineStr">
        <is>
          <t xml:space="preserve">+</t>
        </is>
      </c>
      <c r="J150" s="4">
        <v>0.342</v>
      </c>
    </row>
    <row r="151">
      <c r="A151" s="5" t="inlineStr">
        <is>
          <t xml:space="preserve">BPTM-55-26S075016</t>
        </is>
      </c>
      <c r="B151" s="6" t="inlineStr">
        <is>
          <t xml:space="preserve">BPTM-55-26S075016</t>
        </is>
      </c>
      <c r="C151" s="6" t="inlineStr">
        <is>
          <t xml:space="preserve">AHL3NVDRX7_1</t>
        </is>
      </c>
      <c r="D151" s="15" t="inlineStr">
        <is>
          <t xml:space="preserve">W150_MLH1_E13_02</t>
        </is>
      </c>
      <c r="E151" s="2">
        <v>5467</v>
      </c>
      <c r="F151" s="16" t="inlineStr">
        <is>
          <t xml:space="preserve">+</t>
        </is>
      </c>
      <c r="G151" s="4">
        <v>0.68</v>
      </c>
      <c r="H151" s="2">
        <v>3746</v>
      </c>
      <c r="I151" s="8" t="inlineStr">
        <is>
          <t xml:space="preserve">+</t>
        </is>
      </c>
      <c r="J151" s="4">
        <v>0.707</v>
      </c>
    </row>
    <row r="152">
      <c r="A152" s="5" t="inlineStr">
        <is>
          <t xml:space="preserve">BPTM-55-26S075016</t>
        </is>
      </c>
      <c r="B152" s="6" t="inlineStr">
        <is>
          <t xml:space="preserve">BPTM-55-26S075016</t>
        </is>
      </c>
      <c r="C152" s="6" t="inlineStr">
        <is>
          <t xml:space="preserve">AHL3NVDRX7_1</t>
        </is>
      </c>
      <c r="D152" s="15" t="inlineStr">
        <is>
          <t xml:space="preserve">W151_MLH1_E14_01</t>
        </is>
      </c>
      <c r="E152" s="2">
        <v>11648</v>
      </c>
      <c r="F152" s="16" t="inlineStr">
        <is>
          <t xml:space="preserve">+</t>
        </is>
      </c>
      <c r="G152" s="4">
        <v>1.448</v>
      </c>
      <c r="H152" s="2">
        <v>7950</v>
      </c>
      <c r="I152" s="8" t="inlineStr">
        <is>
          <t xml:space="preserve">+</t>
        </is>
      </c>
      <c r="J152" s="4">
        <v>1.501</v>
      </c>
    </row>
    <row r="153">
      <c r="A153" s="5" t="inlineStr">
        <is>
          <t xml:space="preserve">BPTM-55-26S075016</t>
        </is>
      </c>
      <c r="B153" s="6" t="inlineStr">
        <is>
          <t xml:space="preserve">BPTM-55-26S075016</t>
        </is>
      </c>
      <c r="C153" s="6" t="inlineStr">
        <is>
          <t xml:space="preserve">AHL3NVDRX7_1</t>
        </is>
      </c>
      <c r="D153" s="15" t="inlineStr">
        <is>
          <t xml:space="preserve">W152_MLH1_E14_02</t>
        </is>
      </c>
      <c r="E153" s="2">
        <v>13603</v>
      </c>
      <c r="F153" s="16" t="inlineStr">
        <is>
          <t xml:space="preserve">+</t>
        </is>
      </c>
      <c r="G153" s="4">
        <v>1.692</v>
      </c>
      <c r="H153" s="2">
        <v>7843</v>
      </c>
      <c r="I153" s="8" t="inlineStr">
        <is>
          <t xml:space="preserve">+</t>
        </is>
      </c>
      <c r="J153" s="4">
        <v>1.481</v>
      </c>
    </row>
    <row r="154">
      <c r="A154" s="5" t="inlineStr">
        <is>
          <t xml:space="preserve">BPTM-55-26S075016</t>
        </is>
      </c>
      <c r="B154" s="6" t="inlineStr">
        <is>
          <t xml:space="preserve">BPTM-55-26S075016</t>
        </is>
      </c>
      <c r="C154" s="6" t="inlineStr">
        <is>
          <t xml:space="preserve">AHL3NVDRX7_1</t>
        </is>
      </c>
      <c r="D154" s="15" t="inlineStr">
        <is>
          <t xml:space="preserve">W153_MLH1_E15_01</t>
        </is>
      </c>
      <c r="E154" s="2">
        <v>1835</v>
      </c>
      <c r="F154" s="16" t="inlineStr">
        <is>
          <t xml:space="preserve">+</t>
        </is>
      </c>
      <c r="G154" s="4">
        <v>0.228</v>
      </c>
      <c r="H154" s="2">
        <v>1275</v>
      </c>
      <c r="I154" s="8" t="inlineStr">
        <is>
          <t xml:space="preserve">+</t>
        </is>
      </c>
      <c r="J154" s="4">
        <v>0.241</v>
      </c>
    </row>
    <row r="155">
      <c r="A155" s="5" t="inlineStr">
        <is>
          <t xml:space="preserve">BPTM-55-26S075016</t>
        </is>
      </c>
      <c r="B155" s="6" t="inlineStr">
        <is>
          <t xml:space="preserve">BPTM-55-26S075016</t>
        </is>
      </c>
      <c r="C155" s="6" t="inlineStr">
        <is>
          <t xml:space="preserve">AHL3NVDRX7_1</t>
        </is>
      </c>
      <c r="D155" s="15" t="inlineStr">
        <is>
          <t xml:space="preserve">W154_MLH1_E16_01</t>
        </is>
      </c>
      <c r="E155" s="2">
        <v>11138</v>
      </c>
      <c r="F155" s="16" t="inlineStr">
        <is>
          <t xml:space="preserve">+</t>
        </is>
      </c>
      <c r="G155" s="4">
        <v>1.385</v>
      </c>
      <c r="H155" s="2">
        <v>7434</v>
      </c>
      <c r="I155" s="8" t="inlineStr">
        <is>
          <t xml:space="preserve">+</t>
        </is>
      </c>
      <c r="J155" s="4">
        <v>1.403</v>
      </c>
    </row>
    <row r="156">
      <c r="A156" s="5" t="inlineStr">
        <is>
          <t xml:space="preserve">BPTM-55-26S075016</t>
        </is>
      </c>
      <c r="B156" s="6" t="inlineStr">
        <is>
          <t xml:space="preserve">BPTM-55-26S075016</t>
        </is>
      </c>
      <c r="C156" s="6" t="inlineStr">
        <is>
          <t xml:space="preserve">AHL3NVDRX7_1</t>
        </is>
      </c>
      <c r="D156" s="15" t="inlineStr">
        <is>
          <t xml:space="preserve">W155_MLH1_E16_02</t>
        </is>
      </c>
      <c r="E156" s="2">
        <v>4544</v>
      </c>
      <c r="F156" s="16" t="inlineStr">
        <is>
          <t xml:space="preserve">+</t>
        </is>
      </c>
      <c r="G156" s="4">
        <v>0.565</v>
      </c>
      <c r="H156" s="2">
        <v>3151</v>
      </c>
      <c r="I156" s="8" t="inlineStr">
        <is>
          <t xml:space="preserve">+</t>
        </is>
      </c>
      <c r="J156" s="4">
        <v>0.595</v>
      </c>
    </row>
    <row r="157">
      <c r="A157" s="5" t="inlineStr">
        <is>
          <t xml:space="preserve">BPTM-55-26S075016</t>
        </is>
      </c>
      <c r="B157" s="6" t="inlineStr">
        <is>
          <t xml:space="preserve">BPTM-55-26S075016</t>
        </is>
      </c>
      <c r="C157" s="6" t="inlineStr">
        <is>
          <t xml:space="preserve">AHL3NVDRX7_1</t>
        </is>
      </c>
      <c r="D157" s="15" t="inlineStr">
        <is>
          <t xml:space="preserve">W156_MLH1_E17_01</t>
        </is>
      </c>
      <c r="E157" s="2">
        <v>6290</v>
      </c>
      <c r="F157" s="16" t="inlineStr">
        <is>
          <t xml:space="preserve">+</t>
        </is>
      </c>
      <c r="G157" s="4">
        <v>0.782</v>
      </c>
      <c r="H157" s="2">
        <v>4078</v>
      </c>
      <c r="I157" s="8" t="inlineStr">
        <is>
          <t xml:space="preserve">+</t>
        </is>
      </c>
      <c r="J157" s="4">
        <v>0.77</v>
      </c>
    </row>
    <row r="158">
      <c r="A158" s="5" t="inlineStr">
        <is>
          <t xml:space="preserve">BPTM-55-26S075016</t>
        </is>
      </c>
      <c r="B158" s="6" t="inlineStr">
        <is>
          <t xml:space="preserve">BPTM-55-26S075016</t>
        </is>
      </c>
      <c r="C158" s="6" t="inlineStr">
        <is>
          <t xml:space="preserve">AHL3NVDRX7_1</t>
        </is>
      </c>
      <c r="D158" s="15" t="inlineStr">
        <is>
          <t xml:space="preserve">W157_MLH1_E17_02</t>
        </is>
      </c>
      <c r="E158" s="2">
        <v>25926</v>
      </c>
      <c r="F158" s="16" t="inlineStr">
        <is>
          <t xml:space="preserve">+</t>
        </is>
      </c>
      <c r="G158" s="4">
        <v>3.224</v>
      </c>
      <c r="H158" s="2">
        <v>14860</v>
      </c>
      <c r="I158" s="8" t="inlineStr">
        <is>
          <t xml:space="preserve">+</t>
        </is>
      </c>
      <c r="J158" s="4">
        <v>2.805</v>
      </c>
    </row>
    <row r="159">
      <c r="A159" s="5" t="inlineStr">
        <is>
          <t xml:space="preserve">BPTM-55-26S075016</t>
        </is>
      </c>
      <c r="B159" s="6" t="inlineStr">
        <is>
          <t xml:space="preserve">BPTM-55-26S075016</t>
        </is>
      </c>
      <c r="C159" s="6" t="inlineStr">
        <is>
          <t xml:space="preserve">AHL3NVDRX7_1</t>
        </is>
      </c>
      <c r="D159" s="15" t="inlineStr">
        <is>
          <t xml:space="preserve">W158_MLH1_E18_01</t>
        </is>
      </c>
      <c r="E159" s="2">
        <v>6823</v>
      </c>
      <c r="F159" s="16" t="inlineStr">
        <is>
          <t xml:space="preserve">+</t>
        </is>
      </c>
      <c r="G159" s="4">
        <v>0.848</v>
      </c>
      <c r="H159" s="2">
        <v>4680</v>
      </c>
      <c r="I159" s="8" t="inlineStr">
        <is>
          <t xml:space="preserve">+</t>
        </is>
      </c>
      <c r="J159" s="4">
        <v>0.883</v>
      </c>
    </row>
    <row r="160">
      <c r="A160" s="5" t="inlineStr">
        <is>
          <t xml:space="preserve">BPTM-55-26S075016</t>
        </is>
      </c>
      <c r="B160" s="6" t="inlineStr">
        <is>
          <t xml:space="preserve">BPTM-55-26S075016</t>
        </is>
      </c>
      <c r="C160" s="6" t="inlineStr">
        <is>
          <t xml:space="preserve">AHL3NVDRX7_1</t>
        </is>
      </c>
      <c r="D160" s="15" t="inlineStr">
        <is>
          <t xml:space="preserve">W159_MLH1_E18_02</t>
        </is>
      </c>
      <c r="E160" s="2">
        <v>6195</v>
      </c>
      <c r="F160" s="16" t="inlineStr">
        <is>
          <t xml:space="preserve">+</t>
        </is>
      </c>
      <c r="G160" s="4">
        <v>0.77</v>
      </c>
      <c r="H160" s="2">
        <v>4010</v>
      </c>
      <c r="I160" s="8" t="inlineStr">
        <is>
          <t xml:space="preserve">+</t>
        </is>
      </c>
      <c r="J160" s="4">
        <v>0.757</v>
      </c>
    </row>
    <row r="161">
      <c r="A161" s="5" t="inlineStr">
        <is>
          <t xml:space="preserve">BPTM-55-26S075016</t>
        </is>
      </c>
      <c r="B161" s="6" t="inlineStr">
        <is>
          <t xml:space="preserve">BPTM-55-26S075016</t>
        </is>
      </c>
      <c r="C161" s="6" t="inlineStr">
        <is>
          <t xml:space="preserve">AHL3NVDRX7_1</t>
        </is>
      </c>
      <c r="D161" s="15" t="inlineStr">
        <is>
          <t xml:space="preserve">W160_MLH1_E19_01</t>
        </is>
      </c>
      <c r="E161" s="2">
        <v>1824</v>
      </c>
      <c r="F161" s="16" t="inlineStr">
        <is>
          <t xml:space="preserve">+</t>
        </is>
      </c>
      <c r="G161" s="4">
        <v>0.227</v>
      </c>
      <c r="H161" s="2">
        <v>1276</v>
      </c>
      <c r="I161" s="8" t="inlineStr">
        <is>
          <t xml:space="preserve">+</t>
        </is>
      </c>
      <c r="J161" s="4">
        <v>0.241</v>
      </c>
    </row>
    <row r="162">
      <c r="A162" s="5" t="inlineStr">
        <is>
          <t xml:space="preserve">BPTM-55-26S075016</t>
        </is>
      </c>
      <c r="B162" s="6" t="inlineStr">
        <is>
          <t xml:space="preserve">BPTM-55-26S075016</t>
        </is>
      </c>
      <c r="C162" s="6" t="inlineStr">
        <is>
          <t xml:space="preserve">AHL3NVDRX7_1</t>
        </is>
      </c>
      <c r="D162" s="15" t="inlineStr">
        <is>
          <t xml:space="preserve">W161_MLH1_E19_02</t>
        </is>
      </c>
      <c r="E162" s="2">
        <v>2863</v>
      </c>
      <c r="F162" s="16" t="inlineStr">
        <is>
          <t xml:space="preserve">+</t>
        </is>
      </c>
      <c r="G162" s="4">
        <v>0.356</v>
      </c>
      <c r="H162" s="2">
        <v>1975</v>
      </c>
      <c r="I162" s="8" t="inlineStr">
        <is>
          <t xml:space="preserve">+</t>
        </is>
      </c>
      <c r="J162" s="4">
        <v>0.373</v>
      </c>
    </row>
    <row r="163">
      <c r="A163" s="5" t="inlineStr">
        <is>
          <t xml:space="preserve">BPTM-55-26S075016</t>
        </is>
      </c>
      <c r="B163" s="6" t="inlineStr">
        <is>
          <t xml:space="preserve">BPTM-55-26S075016</t>
        </is>
      </c>
      <c r="C163" s="6" t="inlineStr">
        <is>
          <t xml:space="preserve">AHL3NVDRX7_1</t>
        </is>
      </c>
      <c r="D163" s="15" t="inlineStr">
        <is>
          <t xml:space="preserve">W162_CTNNB1_E03_01</t>
        </is>
      </c>
      <c r="E163" s="2">
        <v>6171</v>
      </c>
      <c r="F163" s="16" t="inlineStr">
        <is>
          <t xml:space="preserve">+</t>
        </is>
      </c>
      <c r="G163" s="4">
        <v>0.767</v>
      </c>
      <c r="H163" s="2">
        <v>4252</v>
      </c>
      <c r="I163" s="8" t="inlineStr">
        <is>
          <t xml:space="preserve">+</t>
        </is>
      </c>
      <c r="J163" s="4">
        <v>0.803</v>
      </c>
    </row>
    <row r="164">
      <c r="A164" s="5" t="inlineStr">
        <is>
          <t xml:space="preserve">BPTM-55-26S075016</t>
        </is>
      </c>
      <c r="B164" s="6" t="inlineStr">
        <is>
          <t xml:space="preserve">BPTM-55-26S075016</t>
        </is>
      </c>
      <c r="C164" s="6" t="inlineStr">
        <is>
          <t xml:space="preserve">AHL3NVDRX7_1</t>
        </is>
      </c>
      <c r="D164" s="15" t="inlineStr">
        <is>
          <t xml:space="preserve">W163_CTNNB1_E03_02</t>
        </is>
      </c>
      <c r="E164" s="2">
        <v>11408</v>
      </c>
      <c r="F164" s="16" t="inlineStr">
        <is>
          <t xml:space="preserve">+</t>
        </is>
      </c>
      <c r="G164" s="4">
        <v>1.419</v>
      </c>
      <c r="H164" s="2">
        <v>7005</v>
      </c>
      <c r="I164" s="8" t="inlineStr">
        <is>
          <t xml:space="preserve">+</t>
        </is>
      </c>
      <c r="J164" s="4">
        <v>1.322</v>
      </c>
    </row>
    <row r="165">
      <c r="A165" s="5" t="inlineStr">
        <is>
          <t xml:space="preserve">BPTM-55-26S075016</t>
        </is>
      </c>
      <c r="B165" s="6" t="inlineStr">
        <is>
          <t xml:space="preserve">BPTM-55-26S075016</t>
        </is>
      </c>
      <c r="C165" s="6" t="inlineStr">
        <is>
          <t xml:space="preserve">AHL3NVDRX7_1</t>
        </is>
      </c>
      <c r="D165" s="15" t="inlineStr">
        <is>
          <t xml:space="preserve">W164_CTNNB1_E03_03</t>
        </is>
      </c>
      <c r="E165" s="2">
        <v>6033</v>
      </c>
      <c r="F165" s="16" t="inlineStr">
        <is>
          <t xml:space="preserve">+</t>
        </is>
      </c>
      <c r="G165" s="4">
        <v>0.75</v>
      </c>
      <c r="H165" s="2">
        <v>4158</v>
      </c>
      <c r="I165" s="8" t="inlineStr">
        <is>
          <t xml:space="preserve">+</t>
        </is>
      </c>
      <c r="J165" s="4">
        <v>0.785</v>
      </c>
    </row>
    <row r="166">
      <c r="A166" s="5" t="inlineStr">
        <is>
          <t xml:space="preserve">BPTM-55-26S075016</t>
        </is>
      </c>
      <c r="B166" s="6" t="inlineStr">
        <is>
          <t xml:space="preserve">BPTM-55-26S075016</t>
        </is>
      </c>
      <c r="C166" s="6" t="inlineStr">
        <is>
          <t xml:space="preserve">AHL3NVDRX7_1</t>
        </is>
      </c>
      <c r="D166" s="15" t="inlineStr">
        <is>
          <t xml:space="preserve">W165_PMS2_E15_01</t>
        </is>
      </c>
      <c r="E166" s="2">
        <v>4021</v>
      </c>
      <c r="F166" s="16" t="inlineStr">
        <is>
          <t xml:space="preserve">+</t>
        </is>
      </c>
      <c r="G166" s="4">
        <v>0.5</v>
      </c>
      <c r="H166" s="2">
        <v>3169</v>
      </c>
      <c r="I166" s="8" t="inlineStr">
        <is>
          <t xml:space="preserve">+</t>
        </is>
      </c>
      <c r="J166" s="4">
        <v>0.598</v>
      </c>
    </row>
    <row r="167">
      <c r="A167" s="5" t="inlineStr">
        <is>
          <t xml:space="preserve">BPTM-55-26S075016</t>
        </is>
      </c>
      <c r="B167" s="6" t="inlineStr">
        <is>
          <t xml:space="preserve">BPTM-55-26S075016</t>
        </is>
      </c>
      <c r="C167" s="6" t="inlineStr">
        <is>
          <t xml:space="preserve">AHL3NVDRX7_1</t>
        </is>
      </c>
      <c r="D167" s="15" t="inlineStr">
        <is>
          <t xml:space="preserve">W166_PMS2_E15_02</t>
        </is>
      </c>
      <c r="E167" s="2">
        <v>6637</v>
      </c>
      <c r="F167" s="16" t="inlineStr">
        <is>
          <t xml:space="preserve">+</t>
        </is>
      </c>
      <c r="G167" s="4">
        <v>0.825</v>
      </c>
      <c r="H167" s="2">
        <v>4954</v>
      </c>
      <c r="I167" s="8" t="inlineStr">
        <is>
          <t xml:space="preserve">+</t>
        </is>
      </c>
      <c r="J167" s="4">
        <v>0.935</v>
      </c>
    </row>
    <row r="168">
      <c r="A168" s="5" t="inlineStr">
        <is>
          <t xml:space="preserve">BPTM-55-26S075016</t>
        </is>
      </c>
      <c r="B168" s="6" t="inlineStr">
        <is>
          <t xml:space="preserve">BPTM-55-26S075016</t>
        </is>
      </c>
      <c r="C168" s="6" t="inlineStr">
        <is>
          <t xml:space="preserve">AHL3NVDRX7_1</t>
        </is>
      </c>
      <c r="D168" s="15" t="inlineStr">
        <is>
          <t xml:space="preserve">W167_PMS2_E14_01</t>
        </is>
      </c>
      <c r="E168" s="2">
        <v>5516</v>
      </c>
      <c r="F168" s="16" t="inlineStr">
        <is>
          <t xml:space="preserve">+</t>
        </is>
      </c>
      <c r="G168" s="4">
        <v>0.686</v>
      </c>
      <c r="H168" s="2">
        <v>3763</v>
      </c>
      <c r="I168" s="8" t="inlineStr">
        <is>
          <t xml:space="preserve">+</t>
        </is>
      </c>
      <c r="J168" s="4">
        <v>0.71</v>
      </c>
    </row>
    <row r="169">
      <c r="A169" s="5" t="inlineStr">
        <is>
          <t xml:space="preserve">BPTM-55-26S075016</t>
        </is>
      </c>
      <c r="B169" s="6" t="inlineStr">
        <is>
          <t xml:space="preserve">BPTM-55-26S075016</t>
        </is>
      </c>
      <c r="C169" s="6" t="inlineStr">
        <is>
          <t xml:space="preserve">AHL3NVDRX7_1</t>
        </is>
      </c>
      <c r="D169" s="15" t="inlineStr">
        <is>
          <t xml:space="preserve">W168_PMS2_E14_02</t>
        </is>
      </c>
      <c r="E169" s="2">
        <v>5923</v>
      </c>
      <c r="F169" s="16" t="inlineStr">
        <is>
          <t xml:space="preserve">+</t>
        </is>
      </c>
      <c r="G169" s="4">
        <v>0.737</v>
      </c>
      <c r="H169" s="2">
        <v>4151</v>
      </c>
      <c r="I169" s="8" t="inlineStr">
        <is>
          <t xml:space="preserve">+</t>
        </is>
      </c>
      <c r="J169" s="4">
        <v>0.784</v>
      </c>
    </row>
    <row r="170">
      <c r="A170" s="5" t="inlineStr">
        <is>
          <t xml:space="preserve">BPTM-55-26S075016</t>
        </is>
      </c>
      <c r="B170" s="6" t="inlineStr">
        <is>
          <t xml:space="preserve">BPTM-55-26S075016</t>
        </is>
      </c>
      <c r="C170" s="6" t="inlineStr">
        <is>
          <t xml:space="preserve">AHL3NVDRX7_1</t>
        </is>
      </c>
      <c r="D170" s="15" t="inlineStr">
        <is>
          <t xml:space="preserve">W169_PMS2_E13_01</t>
        </is>
      </c>
      <c r="E170" s="2">
        <v>2625</v>
      </c>
      <c r="F170" s="16" t="inlineStr">
        <is>
          <t xml:space="preserve">+</t>
        </is>
      </c>
      <c r="G170" s="4">
        <v>0.326</v>
      </c>
      <c r="H170" s="2">
        <v>1878</v>
      </c>
      <c r="I170" s="8" t="inlineStr">
        <is>
          <t xml:space="preserve">+</t>
        </is>
      </c>
      <c r="J170" s="4">
        <v>0.355</v>
      </c>
    </row>
    <row r="171">
      <c r="A171" s="5" t="inlineStr">
        <is>
          <t xml:space="preserve">BPTM-55-26S075016</t>
        </is>
      </c>
      <c r="B171" s="6" t="inlineStr">
        <is>
          <t xml:space="preserve">BPTM-55-26S075016</t>
        </is>
      </c>
      <c r="C171" s="6" t="inlineStr">
        <is>
          <t xml:space="preserve">AHL3NVDRX7_1</t>
        </is>
      </c>
      <c r="D171" s="15" t="inlineStr">
        <is>
          <t xml:space="preserve">W170_PMS2_E12_01</t>
        </is>
      </c>
      <c r="E171" s="2">
        <v>5451</v>
      </c>
      <c r="F171" s="16" t="inlineStr">
        <is>
          <t xml:space="preserve">+</t>
        </is>
      </c>
      <c r="G171" s="4">
        <v>0.678</v>
      </c>
      <c r="H171" s="2">
        <v>3582</v>
      </c>
      <c r="I171" s="8" t="inlineStr">
        <is>
          <t xml:space="preserve">+</t>
        </is>
      </c>
      <c r="J171" s="4">
        <v>0.676</v>
      </c>
    </row>
    <row r="172">
      <c r="A172" s="5" t="inlineStr">
        <is>
          <t xml:space="preserve">BPTM-55-26S075016</t>
        </is>
      </c>
      <c r="B172" s="6" t="inlineStr">
        <is>
          <t xml:space="preserve">BPTM-55-26S075016</t>
        </is>
      </c>
      <c r="C172" s="6" t="inlineStr">
        <is>
          <t xml:space="preserve">AHL3NVDRX7_1</t>
        </is>
      </c>
      <c r="D172" s="15" t="inlineStr">
        <is>
          <t xml:space="preserve">W171_PMS2_E12_02</t>
        </is>
      </c>
      <c r="E172" s="2">
        <v>1422</v>
      </c>
      <c r="F172" s="16" t="inlineStr">
        <is>
          <t xml:space="preserve">-</t>
        </is>
      </c>
      <c r="G172" s="4">
        <v>0.177</v>
      </c>
      <c r="H172" s="2">
        <v>1162</v>
      </c>
      <c r="I172" s="8" t="inlineStr">
        <is>
          <t xml:space="preserve">+</t>
        </is>
      </c>
      <c r="J172" s="4">
        <v>0.219</v>
      </c>
    </row>
    <row r="173">
      <c r="A173" s="5" t="inlineStr">
        <is>
          <t xml:space="preserve">BPTM-55-26S075016</t>
        </is>
      </c>
      <c r="B173" s="6" t="inlineStr">
        <is>
          <t xml:space="preserve">BPTM-55-26S075016</t>
        </is>
      </c>
      <c r="C173" s="6" t="inlineStr">
        <is>
          <t xml:space="preserve">AHL3NVDRX7_1</t>
        </is>
      </c>
      <c r="D173" s="15" t="inlineStr">
        <is>
          <t xml:space="preserve">W172_PMS2_E10_01</t>
        </is>
      </c>
      <c r="E173" s="2">
        <v>8324</v>
      </c>
      <c r="F173" s="16" t="inlineStr">
        <is>
          <t xml:space="preserve">+</t>
        </is>
      </c>
      <c r="G173" s="4">
        <v>1.035</v>
      </c>
      <c r="H173" s="2">
        <v>5518</v>
      </c>
      <c r="I173" s="8" t="inlineStr">
        <is>
          <t xml:space="preserve">+</t>
        </is>
      </c>
      <c r="J173" s="4">
        <v>1.042</v>
      </c>
    </row>
    <row r="174">
      <c r="A174" s="5" t="inlineStr">
        <is>
          <t xml:space="preserve">BPTM-55-26S075016</t>
        </is>
      </c>
      <c r="B174" s="6" t="inlineStr">
        <is>
          <t xml:space="preserve">BPTM-55-26S075016</t>
        </is>
      </c>
      <c r="C174" s="6" t="inlineStr">
        <is>
          <t xml:space="preserve">AHL3NVDRX7_1</t>
        </is>
      </c>
      <c r="D174" s="15" t="inlineStr">
        <is>
          <t xml:space="preserve">W173_PMS2_E10_02</t>
        </is>
      </c>
      <c r="E174" s="2">
        <v>5238</v>
      </c>
      <c r="F174" s="16" t="inlineStr">
        <is>
          <t xml:space="preserve">+</t>
        </is>
      </c>
      <c r="G174" s="4">
        <v>0.651</v>
      </c>
      <c r="H174" s="2">
        <v>3711</v>
      </c>
      <c r="I174" s="8" t="inlineStr">
        <is>
          <t xml:space="preserve">+</t>
        </is>
      </c>
      <c r="J174" s="4">
        <v>0.701</v>
      </c>
    </row>
    <row r="175">
      <c r="A175" s="5" t="inlineStr">
        <is>
          <t xml:space="preserve">BPTM-55-26S075016</t>
        </is>
      </c>
      <c r="B175" s="6" t="inlineStr">
        <is>
          <t xml:space="preserve">BPTM-55-26S075016</t>
        </is>
      </c>
      <c r="C175" s="6" t="inlineStr">
        <is>
          <t xml:space="preserve">AHL3NVDRX7_1</t>
        </is>
      </c>
      <c r="D175" s="15" t="inlineStr">
        <is>
          <t xml:space="preserve">W174_PMS2_E10_03</t>
        </is>
      </c>
      <c r="E175" s="2">
        <v>3850</v>
      </c>
      <c r="F175" s="16" t="inlineStr">
        <is>
          <t xml:space="preserve">+</t>
        </is>
      </c>
      <c r="G175" s="4">
        <v>0.479</v>
      </c>
      <c r="H175" s="2">
        <v>2758</v>
      </c>
      <c r="I175" s="8" t="inlineStr">
        <is>
          <t xml:space="preserve">+</t>
        </is>
      </c>
      <c r="J175" s="4">
        <v>0.521</v>
      </c>
    </row>
    <row r="176">
      <c r="A176" s="5" t="inlineStr">
        <is>
          <t xml:space="preserve">BPTM-55-26S075016</t>
        </is>
      </c>
      <c r="B176" s="6" t="inlineStr">
        <is>
          <t xml:space="preserve">BPTM-55-26S075016</t>
        </is>
      </c>
      <c r="C176" s="6" t="inlineStr">
        <is>
          <t xml:space="preserve">AHL3NVDRX7_1</t>
        </is>
      </c>
      <c r="D176" s="15" t="inlineStr">
        <is>
          <t xml:space="preserve">W175_PMS2_E09_01</t>
        </is>
      </c>
      <c r="E176" s="2">
        <v>11713</v>
      </c>
      <c r="F176" s="16" t="inlineStr">
        <is>
          <t xml:space="preserve">+</t>
        </is>
      </c>
      <c r="G176" s="4">
        <v>1.457</v>
      </c>
      <c r="H176" s="2">
        <v>7668</v>
      </c>
      <c r="I176" s="8" t="inlineStr">
        <is>
          <t xml:space="preserve">+</t>
        </is>
      </c>
      <c r="J176" s="4">
        <v>1.447</v>
      </c>
    </row>
    <row r="177">
      <c r="A177" s="5" t="inlineStr">
        <is>
          <t xml:space="preserve">BPTM-55-26S075016</t>
        </is>
      </c>
      <c r="B177" s="6" t="inlineStr">
        <is>
          <t xml:space="preserve">BPTM-55-26S075016</t>
        </is>
      </c>
      <c r="C177" s="6" t="inlineStr">
        <is>
          <t xml:space="preserve">AHL3NVDRX7_1</t>
        </is>
      </c>
      <c r="D177" s="15" t="inlineStr">
        <is>
          <t xml:space="preserve">W176_PMS2_E09_02</t>
        </is>
      </c>
      <c r="E177" s="2">
        <v>15879</v>
      </c>
      <c r="F177" s="16" t="inlineStr">
        <is>
          <t xml:space="preserve">+</t>
        </is>
      </c>
      <c r="G177" s="4">
        <v>1.975</v>
      </c>
      <c r="H177" s="2">
        <v>10007</v>
      </c>
      <c r="I177" s="8" t="inlineStr">
        <is>
          <t xml:space="preserve">+</t>
        </is>
      </c>
      <c r="J177" s="4">
        <v>1.889</v>
      </c>
    </row>
    <row r="178">
      <c r="A178" s="5" t="inlineStr">
        <is>
          <t xml:space="preserve">BPTM-55-26S075016</t>
        </is>
      </c>
      <c r="B178" s="6" t="inlineStr">
        <is>
          <t xml:space="preserve">BPTM-55-26S075016</t>
        </is>
      </c>
      <c r="C178" s="6" t="inlineStr">
        <is>
          <t xml:space="preserve">AHL3NVDRX7_1</t>
        </is>
      </c>
      <c r="D178" s="15" t="inlineStr">
        <is>
          <t xml:space="preserve">W177_PMS2_E08_01</t>
        </is>
      </c>
      <c r="E178" s="2">
        <v>5387</v>
      </c>
      <c r="F178" s="16" t="inlineStr">
        <is>
          <t xml:space="preserve">+</t>
        </is>
      </c>
      <c r="G178" s="4">
        <v>0.67</v>
      </c>
      <c r="H178" s="2">
        <v>3756</v>
      </c>
      <c r="I178" s="8" t="inlineStr">
        <is>
          <t xml:space="preserve">+</t>
        </is>
      </c>
      <c r="J178" s="4">
        <v>0.709</v>
      </c>
    </row>
    <row r="179">
      <c r="A179" s="5" t="inlineStr">
        <is>
          <t xml:space="preserve">BPTM-55-26S075016</t>
        </is>
      </c>
      <c r="B179" s="6" t="inlineStr">
        <is>
          <t xml:space="preserve">BPTM-55-26S075016</t>
        </is>
      </c>
      <c r="C179" s="6" t="inlineStr">
        <is>
          <t xml:space="preserve">AHL3NVDRX7_1</t>
        </is>
      </c>
      <c r="D179" s="15" t="inlineStr">
        <is>
          <t xml:space="preserve">W178_PMS2_E08_02</t>
        </is>
      </c>
      <c r="E179" s="2">
        <v>6437</v>
      </c>
      <c r="F179" s="16" t="inlineStr">
        <is>
          <t xml:space="preserve">+</t>
        </is>
      </c>
      <c r="G179" s="4">
        <v>0.8</v>
      </c>
      <c r="H179" s="2">
        <v>4372</v>
      </c>
      <c r="I179" s="8" t="inlineStr">
        <is>
          <t xml:space="preserve">+</t>
        </is>
      </c>
      <c r="J179" s="4">
        <v>0.825</v>
      </c>
    </row>
    <row r="180">
      <c r="A180" s="5" t="inlineStr">
        <is>
          <t xml:space="preserve">BPTM-55-26S075016</t>
        </is>
      </c>
      <c r="B180" s="6" t="inlineStr">
        <is>
          <t xml:space="preserve">BPTM-55-26S075016</t>
        </is>
      </c>
      <c r="C180" s="6" t="inlineStr">
        <is>
          <t xml:space="preserve">AHL3NVDRX7_1</t>
        </is>
      </c>
      <c r="D180" s="15" t="inlineStr">
        <is>
          <t xml:space="preserve">W179_PMS2_E07_01</t>
        </is>
      </c>
      <c r="E180" s="2">
        <v>6693</v>
      </c>
      <c r="F180" s="16" t="inlineStr">
        <is>
          <t xml:space="preserve">+</t>
        </is>
      </c>
      <c r="G180" s="4">
        <v>0.832</v>
      </c>
      <c r="H180" s="2">
        <v>4418</v>
      </c>
      <c r="I180" s="8" t="inlineStr">
        <is>
          <t xml:space="preserve">+</t>
        </is>
      </c>
      <c r="J180" s="4">
        <v>0.834</v>
      </c>
    </row>
    <row r="181">
      <c r="A181" s="5" t="inlineStr">
        <is>
          <t xml:space="preserve">BPTM-55-26S075016</t>
        </is>
      </c>
      <c r="B181" s="6" t="inlineStr">
        <is>
          <t xml:space="preserve">BPTM-55-26S075016</t>
        </is>
      </c>
      <c r="C181" s="6" t="inlineStr">
        <is>
          <t xml:space="preserve">AHL3NVDRX7_1</t>
        </is>
      </c>
      <c r="D181" s="15" t="inlineStr">
        <is>
          <t xml:space="preserve">W180_PMS2_E07_02</t>
        </is>
      </c>
      <c r="E181" s="2">
        <v>2870</v>
      </c>
      <c r="F181" s="16" t="inlineStr">
        <is>
          <t xml:space="preserve">+</t>
        </is>
      </c>
      <c r="G181" s="4">
        <v>0.357</v>
      </c>
      <c r="H181" s="2">
        <v>2178</v>
      </c>
      <c r="I181" s="8" t="inlineStr">
        <is>
          <t xml:space="preserve">+</t>
        </is>
      </c>
      <c r="J181" s="4">
        <v>0.411</v>
      </c>
    </row>
    <row r="182">
      <c r="A182" s="5" t="inlineStr">
        <is>
          <t xml:space="preserve">BPTM-55-26S075016</t>
        </is>
      </c>
      <c r="B182" s="6" t="inlineStr">
        <is>
          <t xml:space="preserve">BPTM-55-26S075016</t>
        </is>
      </c>
      <c r="C182" s="6" t="inlineStr">
        <is>
          <t xml:space="preserve">AHL3NVDRX7_1</t>
        </is>
      </c>
      <c r="D182" s="15" t="inlineStr">
        <is>
          <t xml:space="preserve">W181_PMS2_E06_01</t>
        </is>
      </c>
      <c r="E182" s="2">
        <v>5229</v>
      </c>
      <c r="F182" s="16" t="inlineStr">
        <is>
          <t xml:space="preserve">+</t>
        </is>
      </c>
      <c r="G182" s="4">
        <v>0.65</v>
      </c>
      <c r="H182" s="2">
        <v>3484</v>
      </c>
      <c r="I182" s="8" t="inlineStr">
        <is>
          <t xml:space="preserve">+</t>
        </is>
      </c>
      <c r="J182" s="4">
        <v>0.658</v>
      </c>
    </row>
    <row r="183">
      <c r="A183" s="5" t="inlineStr">
        <is>
          <t xml:space="preserve">BPTM-55-26S075016</t>
        </is>
      </c>
      <c r="B183" s="6" t="inlineStr">
        <is>
          <t xml:space="preserve">BPTM-55-26S075016</t>
        </is>
      </c>
      <c r="C183" s="6" t="inlineStr">
        <is>
          <t xml:space="preserve">AHL3NVDRX7_1</t>
        </is>
      </c>
      <c r="D183" s="15" t="inlineStr">
        <is>
          <t xml:space="preserve">W182_PMS2_E06_02</t>
        </is>
      </c>
      <c r="E183" s="2">
        <v>4008</v>
      </c>
      <c r="F183" s="16" t="inlineStr">
        <is>
          <t xml:space="preserve">+</t>
        </is>
      </c>
      <c r="G183" s="4">
        <v>0.498</v>
      </c>
      <c r="H183" s="2">
        <v>2794</v>
      </c>
      <c r="I183" s="8" t="inlineStr">
        <is>
          <t xml:space="preserve">+</t>
        </is>
      </c>
      <c r="J183" s="4">
        <v>0.527</v>
      </c>
    </row>
    <row r="184">
      <c r="A184" s="5" t="inlineStr">
        <is>
          <t xml:space="preserve">BPTM-55-26S075016</t>
        </is>
      </c>
      <c r="B184" s="6" t="inlineStr">
        <is>
          <t xml:space="preserve">BPTM-55-26S075016</t>
        </is>
      </c>
      <c r="C184" s="6" t="inlineStr">
        <is>
          <t xml:space="preserve">AHL3NVDRX7_1</t>
        </is>
      </c>
      <c r="D184" s="15" t="inlineStr">
        <is>
          <t xml:space="preserve">W183_PMS2_E05_01</t>
        </is>
      </c>
      <c r="E184" s="2">
        <v>9412</v>
      </c>
      <c r="F184" s="16" t="inlineStr">
        <is>
          <t xml:space="preserve">+</t>
        </is>
      </c>
      <c r="G184" s="4">
        <v>1.17</v>
      </c>
      <c r="H184" s="2">
        <v>6081</v>
      </c>
      <c r="I184" s="8" t="inlineStr">
        <is>
          <t xml:space="preserve">+</t>
        </is>
      </c>
      <c r="J184" s="4">
        <v>1.148</v>
      </c>
    </row>
    <row r="185">
      <c r="A185" s="5" t="inlineStr">
        <is>
          <t xml:space="preserve">BPTM-55-26S075016</t>
        </is>
      </c>
      <c r="B185" s="6" t="inlineStr">
        <is>
          <t xml:space="preserve">BPTM-55-26S075016</t>
        </is>
      </c>
      <c r="C185" s="6" t="inlineStr">
        <is>
          <t xml:space="preserve">AHL3NVDRX7_1</t>
        </is>
      </c>
      <c r="D185" s="15" t="inlineStr">
        <is>
          <t xml:space="preserve">W184_PMS2_E05_02</t>
        </is>
      </c>
      <c r="E185" s="2">
        <v>14583</v>
      </c>
      <c r="F185" s="16" t="inlineStr">
        <is>
          <t xml:space="preserve">+</t>
        </is>
      </c>
      <c r="G185" s="4">
        <v>1.813</v>
      </c>
      <c r="H185" s="2">
        <v>10066</v>
      </c>
      <c r="I185" s="8" t="inlineStr">
        <is>
          <t xml:space="preserve">+</t>
        </is>
      </c>
      <c r="J185" s="4">
        <v>1.9</v>
      </c>
    </row>
    <row r="186">
      <c r="A186" s="5" t="inlineStr">
        <is>
          <t xml:space="preserve">BPTM-55-26S075016</t>
        </is>
      </c>
      <c r="B186" s="6" t="inlineStr">
        <is>
          <t xml:space="preserve">BPTM-55-26S075016</t>
        </is>
      </c>
      <c r="C186" s="6" t="inlineStr">
        <is>
          <t xml:space="preserve">AHL3NVDRX7_1</t>
        </is>
      </c>
      <c r="D186" s="15" t="inlineStr">
        <is>
          <t xml:space="preserve">W185_PMS2_E05_03</t>
        </is>
      </c>
      <c r="E186" s="2">
        <v>13893</v>
      </c>
      <c r="F186" s="16" t="inlineStr">
        <is>
          <t xml:space="preserve">+</t>
        </is>
      </c>
      <c r="G186" s="4">
        <v>1.728</v>
      </c>
      <c r="H186" s="2">
        <v>9000</v>
      </c>
      <c r="I186" s="8" t="inlineStr">
        <is>
          <t xml:space="preserve">+</t>
        </is>
      </c>
      <c r="J186" s="4">
        <v>1.699</v>
      </c>
    </row>
    <row r="187">
      <c r="A187" s="5" t="inlineStr">
        <is>
          <t xml:space="preserve">BPTM-55-26S075016</t>
        </is>
      </c>
      <c r="B187" s="6" t="inlineStr">
        <is>
          <t xml:space="preserve">BPTM-55-26S075016</t>
        </is>
      </c>
      <c r="C187" s="6" t="inlineStr">
        <is>
          <t xml:space="preserve">AHL3NVDRX7_1</t>
        </is>
      </c>
      <c r="D187" s="15" t="inlineStr">
        <is>
          <t xml:space="preserve">W186_PMS2_E04_01</t>
        </is>
      </c>
      <c r="E187" s="2">
        <v>6194</v>
      </c>
      <c r="F187" s="16" t="inlineStr">
        <is>
          <t xml:space="preserve">+</t>
        </is>
      </c>
      <c r="G187" s="4">
        <v>0.77</v>
      </c>
      <c r="H187" s="2">
        <v>4351</v>
      </c>
      <c r="I187" s="8" t="inlineStr">
        <is>
          <t xml:space="preserve">+</t>
        </is>
      </c>
      <c r="J187" s="4">
        <v>0.821</v>
      </c>
    </row>
    <row r="188">
      <c r="A188" s="5" t="inlineStr">
        <is>
          <t xml:space="preserve">BPTM-55-26S075016</t>
        </is>
      </c>
      <c r="B188" s="6" t="inlineStr">
        <is>
          <t xml:space="preserve">BPTM-55-26S075016</t>
        </is>
      </c>
      <c r="C188" s="6" t="inlineStr">
        <is>
          <t xml:space="preserve">AHL3NVDRX7_1</t>
        </is>
      </c>
      <c r="D188" s="15" t="inlineStr">
        <is>
          <t xml:space="preserve">W187_PMS2_E04_02</t>
        </is>
      </c>
      <c r="E188" s="2">
        <v>5957</v>
      </c>
      <c r="F188" s="16" t="inlineStr">
        <is>
          <t xml:space="preserve">+</t>
        </is>
      </c>
      <c r="G188" s="4">
        <v>0.741</v>
      </c>
      <c r="H188" s="2">
        <v>4195</v>
      </c>
      <c r="I188" s="8" t="inlineStr">
        <is>
          <t xml:space="preserve">+</t>
        </is>
      </c>
      <c r="J188" s="4">
        <v>0.792</v>
      </c>
    </row>
    <row r="189">
      <c r="A189" s="5" t="inlineStr">
        <is>
          <t xml:space="preserve">BPTM-55-26S075016</t>
        </is>
      </c>
      <c r="B189" s="6" t="inlineStr">
        <is>
          <t xml:space="preserve">BPTM-55-26S075016</t>
        </is>
      </c>
      <c r="C189" s="6" t="inlineStr">
        <is>
          <t xml:space="preserve">AHL3NVDRX7_1</t>
        </is>
      </c>
      <c r="D189" s="15" t="inlineStr">
        <is>
          <t xml:space="preserve">W188_PMS2_E03_01</t>
        </is>
      </c>
      <c r="E189" s="2">
        <v>12022</v>
      </c>
      <c r="F189" s="16" t="inlineStr">
        <is>
          <t xml:space="preserve">+</t>
        </is>
      </c>
      <c r="G189" s="4">
        <v>1.495</v>
      </c>
      <c r="H189" s="2">
        <v>8257</v>
      </c>
      <c r="I189" s="8" t="inlineStr">
        <is>
          <t xml:space="preserve">+</t>
        </is>
      </c>
      <c r="J189" s="4">
        <v>1.559</v>
      </c>
    </row>
    <row r="190">
      <c r="A190" s="5" t="inlineStr">
        <is>
          <t xml:space="preserve">BPTM-55-26S075016</t>
        </is>
      </c>
      <c r="B190" s="6" t="inlineStr">
        <is>
          <t xml:space="preserve">BPTM-55-26S075016</t>
        </is>
      </c>
      <c r="C190" s="6" t="inlineStr">
        <is>
          <t xml:space="preserve">AHL3NVDRX7_1</t>
        </is>
      </c>
      <c r="D190" s="15" t="inlineStr">
        <is>
          <t xml:space="preserve">W189_PMS2_E03_02</t>
        </is>
      </c>
      <c r="E190" s="2">
        <v>3326</v>
      </c>
      <c r="F190" s="16" t="inlineStr">
        <is>
          <t xml:space="preserve">+</t>
        </is>
      </c>
      <c r="G190" s="4">
        <v>0.414</v>
      </c>
      <c r="H190" s="2">
        <v>2406</v>
      </c>
      <c r="I190" s="8" t="inlineStr">
        <is>
          <t xml:space="preserve">+</t>
        </is>
      </c>
      <c r="J190" s="4">
        <v>0.454</v>
      </c>
    </row>
    <row r="191">
      <c r="A191" s="5" t="inlineStr">
        <is>
          <t xml:space="preserve">BPTM-55-26S075016</t>
        </is>
      </c>
      <c r="B191" s="6" t="inlineStr">
        <is>
          <t xml:space="preserve">BPTM-55-26S075016</t>
        </is>
      </c>
      <c r="C191" s="6" t="inlineStr">
        <is>
          <t xml:space="preserve">AHL3NVDRX7_1</t>
        </is>
      </c>
      <c r="D191" s="15" t="inlineStr">
        <is>
          <t xml:space="preserve">W190_PMS2_E02_01</t>
        </is>
      </c>
      <c r="E191" s="2">
        <v>2737</v>
      </c>
      <c r="F191" s="16" t="inlineStr">
        <is>
          <t xml:space="preserve">+</t>
        </is>
      </c>
      <c r="G191" s="4">
        <v>0.34</v>
      </c>
      <c r="H191" s="2">
        <v>1934</v>
      </c>
      <c r="I191" s="8" t="inlineStr">
        <is>
          <t xml:space="preserve">+</t>
        </is>
      </c>
      <c r="J191" s="4">
        <v>0.365</v>
      </c>
    </row>
    <row r="192">
      <c r="A192" s="5" t="inlineStr">
        <is>
          <t xml:space="preserve">BPTM-55-26S075016</t>
        </is>
      </c>
      <c r="B192" s="6" t="inlineStr">
        <is>
          <t xml:space="preserve">BPTM-55-26S075016</t>
        </is>
      </c>
      <c r="C192" s="6" t="inlineStr">
        <is>
          <t xml:space="preserve">AHL3NVDRX7_1</t>
        </is>
      </c>
      <c r="D192" s="15" t="inlineStr">
        <is>
          <t xml:space="preserve">W191_PMS2_E02_02</t>
        </is>
      </c>
      <c r="E192" s="2">
        <v>2511</v>
      </c>
      <c r="F192" s="16" t="inlineStr">
        <is>
          <t xml:space="preserve">+</t>
        </is>
      </c>
      <c r="G192" s="4">
        <v>0.312</v>
      </c>
      <c r="H192" s="2">
        <v>1744</v>
      </c>
      <c r="I192" s="8" t="inlineStr">
        <is>
          <t xml:space="preserve">+</t>
        </is>
      </c>
      <c r="J192" s="4">
        <v>0.329</v>
      </c>
    </row>
    <row r="193">
      <c r="A193" s="5" t="inlineStr">
        <is>
          <t xml:space="preserve">BPTM-55-26S075016</t>
        </is>
      </c>
      <c r="B193" s="6" t="inlineStr">
        <is>
          <t xml:space="preserve">BPTM-55-26S075016</t>
        </is>
      </c>
      <c r="C193" s="6" t="inlineStr">
        <is>
          <t xml:space="preserve">AHL3NVDRX7_1</t>
        </is>
      </c>
      <c r="D193" s="15" t="inlineStr">
        <is>
          <t xml:space="preserve">W192_PMS2_E01_01</t>
        </is>
      </c>
      <c r="E193" s="2">
        <v>2094</v>
      </c>
      <c r="F193" s="16" t="inlineStr">
        <is>
          <t xml:space="preserve">+</t>
        </is>
      </c>
      <c r="G193" s="4">
        <v>0.26</v>
      </c>
      <c r="H193" s="2">
        <v>1246</v>
      </c>
      <c r="I193" s="8" t="inlineStr">
        <is>
          <t xml:space="preserve">+</t>
        </is>
      </c>
      <c r="J193" s="4">
        <v>0.235</v>
      </c>
    </row>
    <row r="194">
      <c r="A194" s="5" t="inlineStr">
        <is>
          <t xml:space="preserve">BPTM-55-26S075016</t>
        </is>
      </c>
      <c r="B194" s="6" t="inlineStr">
        <is>
          <t xml:space="preserve">BPTM-55-26S075016</t>
        </is>
      </c>
      <c r="C194" s="6" t="inlineStr">
        <is>
          <t xml:space="preserve">AHL3NVDRX7_1</t>
        </is>
      </c>
      <c r="D194" s="15" t="inlineStr">
        <is>
          <t xml:space="preserve">W193_POLE_E19_01</t>
        </is>
      </c>
      <c r="E194" s="2">
        <v>865</v>
      </c>
      <c r="F194" s="16" t="inlineStr">
        <is>
          <t xml:space="preserve">-</t>
        </is>
      </c>
      <c r="G194" s="4">
        <v>0.108</v>
      </c>
      <c r="H194" s="2">
        <v>558</v>
      </c>
      <c r="I194" s="8" t="inlineStr">
        <is>
          <t xml:space="preserve">-</t>
        </is>
      </c>
      <c r="J194" s="4">
        <v>0.105</v>
      </c>
    </row>
    <row r="195">
      <c r="A195" s="5" t="inlineStr">
        <is>
          <t xml:space="preserve">BPTM-55-26S075016</t>
        </is>
      </c>
      <c r="B195" s="6" t="inlineStr">
        <is>
          <t xml:space="preserve">BPTM-55-26S075016</t>
        </is>
      </c>
      <c r="C195" s="6" t="inlineStr">
        <is>
          <t xml:space="preserve">AHL3NVDRX7_1</t>
        </is>
      </c>
      <c r="D195" s="15" t="inlineStr">
        <is>
          <t xml:space="preserve">W194_POLE_E14_01</t>
        </is>
      </c>
      <c r="E195" s="2">
        <v>15704</v>
      </c>
      <c r="F195" s="16" t="inlineStr">
        <is>
          <t xml:space="preserve">+</t>
        </is>
      </c>
      <c r="G195" s="4">
        <v>1.953</v>
      </c>
      <c r="H195" s="2">
        <v>9112</v>
      </c>
      <c r="I195" s="8" t="inlineStr">
        <is>
          <t xml:space="preserve">+</t>
        </is>
      </c>
      <c r="J195" s="4">
        <v>1.72</v>
      </c>
    </row>
    <row r="196">
      <c r="A196" s="5" t="inlineStr">
        <is>
          <t xml:space="preserve">BPTM-55-26S075016</t>
        </is>
      </c>
      <c r="B196" s="6" t="inlineStr">
        <is>
          <t xml:space="preserve">BPTM-55-26S075016</t>
        </is>
      </c>
      <c r="C196" s="6" t="inlineStr">
        <is>
          <t xml:space="preserve">AHL3NVDRX7_1</t>
        </is>
      </c>
      <c r="D196" s="15" t="inlineStr">
        <is>
          <t xml:space="preserve">W195_POLE_E14_02</t>
        </is>
      </c>
      <c r="E196" s="2">
        <v>5312</v>
      </c>
      <c r="F196" s="16" t="inlineStr">
        <is>
          <t xml:space="preserve">+</t>
        </is>
      </c>
      <c r="G196" s="4">
        <v>0.661</v>
      </c>
      <c r="H196" s="2">
        <v>3341</v>
      </c>
      <c r="I196" s="8" t="inlineStr">
        <is>
          <t xml:space="preserve">+</t>
        </is>
      </c>
      <c r="J196" s="4">
        <v>0.631</v>
      </c>
    </row>
    <row r="197">
      <c r="A197" s="5" t="inlineStr">
        <is>
          <t xml:space="preserve">BPTM-55-26S075016</t>
        </is>
      </c>
      <c r="B197" s="6" t="inlineStr">
        <is>
          <t xml:space="preserve">BPTM-55-26S075016</t>
        </is>
      </c>
      <c r="C197" s="6" t="inlineStr">
        <is>
          <t xml:space="preserve">AHL3NVDRX7_1</t>
        </is>
      </c>
      <c r="D197" s="15" t="inlineStr">
        <is>
          <t xml:space="preserve">W196_POLE_E13_01</t>
        </is>
      </c>
      <c r="E197" s="2">
        <v>1977</v>
      </c>
      <c r="F197" s="16" t="inlineStr">
        <is>
          <t xml:space="preserve">+</t>
        </is>
      </c>
      <c r="G197" s="4">
        <v>0.246</v>
      </c>
      <c r="H197" s="2">
        <v>1239</v>
      </c>
      <c r="I197" s="8" t="inlineStr">
        <is>
          <t xml:space="preserve">+</t>
        </is>
      </c>
      <c r="J197" s="4">
        <v>0.234</v>
      </c>
    </row>
    <row r="198">
      <c r="A198" s="5" t="inlineStr">
        <is>
          <t xml:space="preserve">BPTM-55-26S075016</t>
        </is>
      </c>
      <c r="B198" s="6" t="inlineStr">
        <is>
          <t xml:space="preserve">BPTM-55-26S075016</t>
        </is>
      </c>
      <c r="C198" s="6" t="inlineStr">
        <is>
          <t xml:space="preserve">AHL3NVDRX7_1</t>
        </is>
      </c>
      <c r="D198" s="15" t="inlineStr">
        <is>
          <t xml:space="preserve">W197_POLE_E13_02</t>
        </is>
      </c>
      <c r="E198" s="2">
        <v>4856</v>
      </c>
      <c r="F198" s="16" t="inlineStr">
        <is>
          <t xml:space="preserve">+</t>
        </is>
      </c>
      <c r="G198" s="4">
        <v>0.604</v>
      </c>
      <c r="H198" s="2">
        <v>3252</v>
      </c>
      <c r="I198" s="8" t="inlineStr">
        <is>
          <t xml:space="preserve">+</t>
        </is>
      </c>
      <c r="J198" s="4">
        <v>0.614</v>
      </c>
    </row>
    <row r="199">
      <c r="A199" s="5" t="inlineStr">
        <is>
          <t xml:space="preserve">BPTM-55-26S075016</t>
        </is>
      </c>
      <c r="B199" s="6" t="inlineStr">
        <is>
          <t xml:space="preserve">BPTM-55-26S075016</t>
        </is>
      </c>
      <c r="C199" s="6" t="inlineStr">
        <is>
          <t xml:space="preserve">AHL3NVDRX7_1</t>
        </is>
      </c>
      <c r="D199" s="15" t="inlineStr">
        <is>
          <t xml:space="preserve">W198_POLE_E12_01</t>
        </is>
      </c>
      <c r="E199" s="2">
        <v>8393</v>
      </c>
      <c r="F199" s="16" t="inlineStr">
        <is>
          <t xml:space="preserve">+</t>
        </is>
      </c>
      <c r="G199" s="4">
        <v>1.044</v>
      </c>
      <c r="H199" s="2">
        <v>4422</v>
      </c>
      <c r="I199" s="8" t="inlineStr">
        <is>
          <t xml:space="preserve">+</t>
        </is>
      </c>
      <c r="J199" s="4">
        <v>0.835</v>
      </c>
    </row>
    <row r="200">
      <c r="A200" s="5" t="inlineStr">
        <is>
          <t xml:space="preserve">BPTM-55-26S075016</t>
        </is>
      </c>
      <c r="B200" s="6" t="inlineStr">
        <is>
          <t xml:space="preserve">BPTM-55-26S075016</t>
        </is>
      </c>
      <c r="C200" s="6" t="inlineStr">
        <is>
          <t xml:space="preserve">AHL3NVDRX7_1</t>
        </is>
      </c>
      <c r="D200" s="15" t="inlineStr">
        <is>
          <t xml:space="preserve">W199_POLE_E12_02</t>
        </is>
      </c>
      <c r="E200" s="2">
        <v>15303</v>
      </c>
      <c r="F200" s="16" t="inlineStr">
        <is>
          <t xml:space="preserve">+</t>
        </is>
      </c>
      <c r="G200" s="4">
        <v>1.903</v>
      </c>
      <c r="H200" s="2">
        <v>8854</v>
      </c>
      <c r="I200" s="8" t="inlineStr">
        <is>
          <t xml:space="preserve">+</t>
        </is>
      </c>
      <c r="J200" s="4">
        <v>1.671</v>
      </c>
    </row>
    <row r="201">
      <c r="A201" s="5" t="inlineStr">
        <is>
          <t xml:space="preserve">BPTM-55-26S075016</t>
        </is>
      </c>
      <c r="B201" s="6" t="inlineStr">
        <is>
          <t xml:space="preserve">BPTM-55-26S075016</t>
        </is>
      </c>
      <c r="C201" s="6" t="inlineStr">
        <is>
          <t xml:space="preserve">AHL3NVDRX7_1</t>
        </is>
      </c>
      <c r="D201" s="15" t="inlineStr">
        <is>
          <t xml:space="preserve">W200_POLE_E11_01</t>
        </is>
      </c>
      <c r="E201" s="2">
        <v>7953</v>
      </c>
      <c r="F201" s="16" t="inlineStr">
        <is>
          <t xml:space="preserve">+</t>
        </is>
      </c>
      <c r="G201" s="4">
        <v>0.989</v>
      </c>
      <c r="H201" s="2">
        <v>5273</v>
      </c>
      <c r="I201" s="8" t="inlineStr">
        <is>
          <t xml:space="preserve">+</t>
        </is>
      </c>
      <c r="J201" s="4">
        <v>0.995</v>
      </c>
    </row>
    <row r="202">
      <c r="A202" s="5" t="inlineStr">
        <is>
          <t xml:space="preserve">BPTM-55-26S075016</t>
        </is>
      </c>
      <c r="B202" s="6" t="inlineStr">
        <is>
          <t xml:space="preserve">BPTM-55-26S075016</t>
        </is>
      </c>
      <c r="C202" s="6" t="inlineStr">
        <is>
          <t xml:space="preserve">AHL3NVDRX7_1</t>
        </is>
      </c>
      <c r="D202" s="15" t="inlineStr">
        <is>
          <t xml:space="preserve">W201_POLE_E11_02</t>
        </is>
      </c>
      <c r="E202" s="2">
        <v>3898</v>
      </c>
      <c r="F202" s="16" t="inlineStr">
        <is>
          <t xml:space="preserve">+</t>
        </is>
      </c>
      <c r="G202" s="4">
        <v>0.485</v>
      </c>
      <c r="H202" s="2">
        <v>2657</v>
      </c>
      <c r="I202" s="8" t="inlineStr">
        <is>
          <t xml:space="preserve">+</t>
        </is>
      </c>
      <c r="J202" s="4">
        <v>0.502</v>
      </c>
    </row>
    <row r="203">
      <c r="A203" s="5" t="inlineStr">
        <is>
          <t xml:space="preserve">BPTM-55-26S075016</t>
        </is>
      </c>
      <c r="B203" s="6" t="inlineStr">
        <is>
          <t xml:space="preserve">BPTM-55-26S075016</t>
        </is>
      </c>
      <c r="C203" s="6" t="inlineStr">
        <is>
          <t xml:space="preserve">AHL3NVDRX7_1</t>
        </is>
      </c>
      <c r="D203" s="15" t="inlineStr">
        <is>
          <t xml:space="preserve">W202_POLE_E10_01</t>
        </is>
      </c>
      <c r="E203" s="2">
        <v>5845</v>
      </c>
      <c r="F203" s="16" t="inlineStr">
        <is>
          <t xml:space="preserve">+</t>
        </is>
      </c>
      <c r="G203" s="4">
        <v>0.727</v>
      </c>
      <c r="H203" s="2">
        <v>4067</v>
      </c>
      <c r="I203" s="8" t="inlineStr">
        <is>
          <t xml:space="preserve">+</t>
        </is>
      </c>
      <c r="J203" s="4">
        <v>0.768</v>
      </c>
    </row>
    <row r="204">
      <c r="A204" s="5" t="inlineStr">
        <is>
          <t xml:space="preserve">BPTM-55-26S075016</t>
        </is>
      </c>
      <c r="B204" s="6" t="inlineStr">
        <is>
          <t xml:space="preserve">BPTM-55-26S075016</t>
        </is>
      </c>
      <c r="C204" s="6" t="inlineStr">
        <is>
          <t xml:space="preserve">AHL3NVDRX7_1</t>
        </is>
      </c>
      <c r="D204" s="15" t="inlineStr">
        <is>
          <t xml:space="preserve">W203_POLE_E10_02</t>
        </is>
      </c>
      <c r="E204" s="2">
        <v>5001</v>
      </c>
      <c r="F204" s="16" t="inlineStr">
        <is>
          <t xml:space="preserve">+</t>
        </is>
      </c>
      <c r="G204" s="4">
        <v>0.622</v>
      </c>
      <c r="H204" s="2">
        <v>3408</v>
      </c>
      <c r="I204" s="8" t="inlineStr">
        <is>
          <t xml:space="preserve">+</t>
        </is>
      </c>
      <c r="J204" s="4">
        <v>0.643</v>
      </c>
    </row>
    <row r="205">
      <c r="A205" s="5" t="inlineStr">
        <is>
          <t xml:space="preserve">BPTM-55-26S075016</t>
        </is>
      </c>
      <c r="B205" s="6" t="inlineStr">
        <is>
          <t xml:space="preserve">BPTM-55-26S075016</t>
        </is>
      </c>
      <c r="C205" s="6" t="inlineStr">
        <is>
          <t xml:space="preserve">AHL3NVDRX7_1</t>
        </is>
      </c>
      <c r="D205" s="15" t="inlineStr">
        <is>
          <t xml:space="preserve">W204_POLE_E09_01</t>
        </is>
      </c>
      <c r="E205" s="2">
        <v>6545</v>
      </c>
      <c r="F205" s="16" t="inlineStr">
        <is>
          <t xml:space="preserve">+</t>
        </is>
      </c>
      <c r="G205" s="4">
        <v>0.814</v>
      </c>
      <c r="H205" s="2">
        <v>4043</v>
      </c>
      <c r="I205" s="8" t="inlineStr">
        <is>
          <t xml:space="preserve">+</t>
        </is>
      </c>
      <c r="J205" s="4">
        <v>0.763</v>
      </c>
    </row>
    <row r="206">
      <c r="A206" s="5" t="inlineStr">
        <is>
          <t xml:space="preserve">BPTM-55-26S075016</t>
        </is>
      </c>
      <c r="B206" s="6" t="inlineStr">
        <is>
          <t xml:space="preserve">BPTM-55-26S075016</t>
        </is>
      </c>
      <c r="C206" s="6" t="inlineStr">
        <is>
          <t xml:space="preserve">AHL3NVDRX7_1</t>
        </is>
      </c>
      <c r="D206" s="15" t="inlineStr">
        <is>
          <t xml:space="preserve">W205_POLE_E09_02</t>
        </is>
      </c>
      <c r="E206" s="2">
        <v>9988</v>
      </c>
      <c r="F206" s="16" t="inlineStr">
        <is>
          <t xml:space="preserve">+</t>
        </is>
      </c>
      <c r="G206" s="4">
        <v>1.242</v>
      </c>
      <c r="H206" s="2">
        <v>6795</v>
      </c>
      <c r="I206" s="8" t="inlineStr">
        <is>
          <t xml:space="preserve">+</t>
        </is>
      </c>
      <c r="J206" s="4">
        <v>1.283</v>
      </c>
    </row>
    <row r="207">
      <c r="A207" s="5" t="inlineStr">
        <is>
          <t xml:space="preserve">BPTM-55-26S075016</t>
        </is>
      </c>
      <c r="B207" s="6" t="inlineStr">
        <is>
          <t xml:space="preserve">BPTM-55-26S075016</t>
        </is>
      </c>
      <c r="C207" s="6" t="inlineStr">
        <is>
          <t xml:space="preserve">AHL3NVDRX7_1</t>
        </is>
      </c>
      <c r="D207" s="15" t="inlineStr">
        <is>
          <t xml:space="preserve">W206_POLE_E08_01</t>
        </is>
      </c>
      <c r="E207" s="2">
        <v>5010</v>
      </c>
      <c r="F207" s="16" t="inlineStr">
        <is>
          <t xml:space="preserve">+</t>
        </is>
      </c>
      <c r="G207" s="4">
        <v>0.623</v>
      </c>
      <c r="H207" s="2">
        <v>3440</v>
      </c>
      <c r="I207" s="8" t="inlineStr">
        <is>
          <t xml:space="preserve">+</t>
        </is>
      </c>
      <c r="J207" s="4">
        <v>0.649</v>
      </c>
    </row>
    <row r="208">
      <c r="A208" s="5" t="inlineStr">
        <is>
          <t xml:space="preserve">BPTM-55-26S075016</t>
        </is>
      </c>
      <c r="B208" s="6" t="inlineStr">
        <is>
          <t xml:space="preserve">BPTM-55-26S075016</t>
        </is>
      </c>
      <c r="C208" s="6" t="inlineStr">
        <is>
          <t xml:space="preserve">AHL3NVDRX7_1</t>
        </is>
      </c>
      <c r="D208" s="15" t="inlineStr">
        <is>
          <t xml:space="preserve">W207_POLE_E08_02</t>
        </is>
      </c>
      <c r="E208" s="2">
        <v>9470</v>
      </c>
      <c r="F208" s="16" t="inlineStr">
        <is>
          <t xml:space="preserve">+</t>
        </is>
      </c>
      <c r="G208" s="4">
        <v>1.178</v>
      </c>
      <c r="H208" s="2">
        <v>6163</v>
      </c>
      <c r="I208" s="8" t="inlineStr">
        <is>
          <t xml:space="preserve">+</t>
        </is>
      </c>
      <c r="J208" s="4">
        <v>1.163</v>
      </c>
    </row>
    <row r="209">
      <c r="A209" s="5" t="inlineStr">
        <is>
          <t xml:space="preserve">BPTM-55-26S075016</t>
        </is>
      </c>
      <c r="B209" s="6" t="inlineStr">
        <is>
          <t xml:space="preserve">BPTM-55-26S075016</t>
        </is>
      </c>
      <c r="C209" s="6" t="inlineStr">
        <is>
          <t xml:space="preserve">AHL3NVDRX7_1</t>
        </is>
      </c>
      <c r="D209" s="15" t="inlineStr">
        <is>
          <t xml:space="preserve">W208_POLE_E07_01</t>
        </is>
      </c>
      <c r="E209" s="2">
        <v>16013</v>
      </c>
      <c r="F209" s="16" t="inlineStr">
        <is>
          <t xml:space="preserve">+</t>
        </is>
      </c>
      <c r="G209" s="4">
        <v>1.991</v>
      </c>
      <c r="H209" s="2">
        <v>9568</v>
      </c>
      <c r="I209" s="8" t="inlineStr">
        <is>
          <t xml:space="preserve">+</t>
        </is>
      </c>
      <c r="J209" s="4">
        <v>1.806</v>
      </c>
    </row>
    <row r="210">
      <c r="A210" s="5" t="inlineStr">
        <is>
          <t xml:space="preserve">BPTM-55-26S075016</t>
        </is>
      </c>
      <c r="B210" s="6" t="inlineStr">
        <is>
          <t xml:space="preserve">BPTM-55-26S075016</t>
        </is>
      </c>
      <c r="C210" s="6" t="inlineStr">
        <is>
          <t xml:space="preserve">AHL3NVDRX7_1</t>
        </is>
      </c>
      <c r="D210" s="15" t="inlineStr">
        <is>
          <t xml:space="preserve">W209_POLE_E07_02</t>
        </is>
      </c>
      <c r="E210" s="2">
        <v>8445</v>
      </c>
      <c r="F210" s="16" t="inlineStr">
        <is>
          <t xml:space="preserve">+</t>
        </is>
      </c>
      <c r="G210" s="4">
        <v>1.05</v>
      </c>
      <c r="H210" s="2">
        <v>5617</v>
      </c>
      <c r="I210" s="8" t="inlineStr">
        <is>
          <t xml:space="preserve">+</t>
        </is>
      </c>
      <c r="J210" s="4">
        <v>1.06</v>
      </c>
    </row>
    <row r="211">
      <c r="A211" s="5" t="inlineStr">
        <is>
          <t xml:space="preserve">BPTM-55-26S075016</t>
        </is>
      </c>
      <c r="B211" s="6" t="inlineStr">
        <is>
          <t xml:space="preserve">BPTM-55-26S075016</t>
        </is>
      </c>
      <c r="C211" s="6" t="inlineStr">
        <is>
          <t xml:space="preserve">AHL3NVDRX7_1</t>
        </is>
      </c>
      <c r="D211" s="15" t="inlineStr">
        <is>
          <t xml:space="preserve">W210_POLE_E06_01</t>
        </is>
      </c>
      <c r="E211" s="2">
        <v>8076</v>
      </c>
      <c r="F211" s="16" t="inlineStr">
        <is>
          <t xml:space="preserve">+</t>
        </is>
      </c>
      <c r="G211" s="4">
        <v>1.004</v>
      </c>
      <c r="H211" s="2">
        <v>4596</v>
      </c>
      <c r="I211" s="8" t="inlineStr">
        <is>
          <t xml:space="preserve">+</t>
        </is>
      </c>
      <c r="J211" s="4">
        <v>0.868</v>
      </c>
    </row>
    <row r="212">
      <c r="A212" s="5" t="inlineStr">
        <is>
          <t xml:space="preserve">BPTM-55-26S075016</t>
        </is>
      </c>
      <c r="B212" s="6" t="inlineStr">
        <is>
          <t xml:space="preserve">BPTM-55-26S075016</t>
        </is>
      </c>
      <c r="C212" s="6" t="inlineStr">
        <is>
          <t xml:space="preserve">AHL3NVDRX7_1</t>
        </is>
      </c>
      <c r="D212" s="15" t="inlineStr">
        <is>
          <t xml:space="preserve">W211_POLE_E06_02</t>
        </is>
      </c>
      <c r="E212" s="2">
        <v>18442</v>
      </c>
      <c r="F212" s="16" t="inlineStr">
        <is>
          <t xml:space="preserve">+</t>
        </is>
      </c>
      <c r="G212" s="4">
        <v>2.293</v>
      </c>
      <c r="H212" s="2">
        <v>11505</v>
      </c>
      <c r="I212" s="8" t="inlineStr">
        <is>
          <t xml:space="preserve">+</t>
        </is>
      </c>
      <c r="J212" s="4">
        <v>2.172</v>
      </c>
    </row>
    <row r="213">
      <c r="A213" s="5" t="inlineStr">
        <is>
          <t xml:space="preserve">BPTM-55-26S075016</t>
        </is>
      </c>
      <c r="B213" s="6" t="inlineStr">
        <is>
          <t xml:space="preserve">BPTM-55-26S075016</t>
        </is>
      </c>
      <c r="C213" s="6" t="inlineStr">
        <is>
          <t xml:space="preserve">AHL3NVDRX7_1</t>
        </is>
      </c>
      <c r="D213" s="15" t="inlineStr">
        <is>
          <t xml:space="preserve">W212_POLE_E05_01</t>
        </is>
      </c>
      <c r="E213" s="2">
        <v>7868</v>
      </c>
      <c r="F213" s="16" t="inlineStr">
        <is>
          <t xml:space="preserve">+</t>
        </is>
      </c>
      <c r="G213" s="4">
        <v>0.978</v>
      </c>
      <c r="H213" s="2">
        <v>5572</v>
      </c>
      <c r="I213" s="8" t="inlineStr">
        <is>
          <t xml:space="preserve">+</t>
        </is>
      </c>
      <c r="J213" s="4">
        <v>1.052</v>
      </c>
    </row>
    <row r="214">
      <c r="A214" s="5" t="inlineStr">
        <is>
          <t xml:space="preserve">BPTM-55-26S075016</t>
        </is>
      </c>
      <c r="B214" s="6" t="inlineStr">
        <is>
          <t xml:space="preserve">BPTM-55-26S075016</t>
        </is>
      </c>
      <c r="C214" s="6" t="inlineStr">
        <is>
          <t xml:space="preserve">AHL3NVDRX7_1</t>
        </is>
      </c>
      <c r="D214" s="15" t="inlineStr">
        <is>
          <t xml:space="preserve">W213_POLE_E04_01</t>
        </is>
      </c>
      <c r="E214" s="2">
        <v>21166</v>
      </c>
      <c r="F214" s="16" t="inlineStr">
        <is>
          <t xml:space="preserve">+</t>
        </is>
      </c>
      <c r="G214" s="4">
        <v>2.632</v>
      </c>
      <c r="H214" s="2">
        <v>12503</v>
      </c>
      <c r="I214" s="8" t="inlineStr">
        <is>
          <t xml:space="preserve">+</t>
        </is>
      </c>
      <c r="J214" s="4">
        <v>2.36</v>
      </c>
    </row>
    <row r="215">
      <c r="A215" s="5" t="inlineStr">
        <is>
          <t xml:space="preserve">BPTM-55-26S075016</t>
        </is>
      </c>
      <c r="B215" s="6" t="inlineStr">
        <is>
          <t xml:space="preserve">BPTM-55-26S075016</t>
        </is>
      </c>
      <c r="C215" s="6" t="inlineStr">
        <is>
          <t xml:space="preserve">AHL3NVDRX7_1</t>
        </is>
      </c>
      <c r="D215" s="15" t="inlineStr">
        <is>
          <t xml:space="preserve">W214_POLE_E03_01</t>
        </is>
      </c>
      <c r="E215" s="2">
        <v>8065</v>
      </c>
      <c r="F215" s="16" t="inlineStr">
        <is>
          <t xml:space="preserve">+</t>
        </is>
      </c>
      <c r="G215" s="4">
        <v>1.003</v>
      </c>
      <c r="H215" s="2">
        <v>5453</v>
      </c>
      <c r="I215" s="8" t="inlineStr">
        <is>
          <t xml:space="preserve">+</t>
        </is>
      </c>
      <c r="J215" s="4">
        <v>1.029</v>
      </c>
    </row>
    <row r="216">
      <c r="A216" s="5" t="inlineStr">
        <is>
          <t xml:space="preserve">BPTM-55-26S075016</t>
        </is>
      </c>
      <c r="B216" s="6" t="inlineStr">
        <is>
          <t xml:space="preserve">BPTM-55-26S075016</t>
        </is>
      </c>
      <c r="C216" s="6" t="inlineStr">
        <is>
          <t xml:space="preserve">AHL3NVDRX7_1</t>
        </is>
      </c>
      <c r="D216" s="15" t="inlineStr">
        <is>
          <t xml:space="preserve">W215_POLE_E03_02</t>
        </is>
      </c>
      <c r="E216" s="2">
        <v>10108</v>
      </c>
      <c r="F216" s="16" t="inlineStr">
        <is>
          <t xml:space="preserve">+</t>
        </is>
      </c>
      <c r="G216" s="4">
        <v>1.257</v>
      </c>
      <c r="H216" s="2">
        <v>6657</v>
      </c>
      <c r="I216" s="8" t="inlineStr">
        <is>
          <t xml:space="preserve">+</t>
        </is>
      </c>
      <c r="J216" s="4">
        <v>1.257</v>
      </c>
    </row>
    <row r="217">
      <c r="A217" s="5" t="inlineStr">
        <is>
          <t xml:space="preserve">BPTM-55-26S075016</t>
        </is>
      </c>
      <c r="B217" s="6" t="inlineStr">
        <is>
          <t xml:space="preserve">BPTM-55-26S075016</t>
        </is>
      </c>
      <c r="C217" s="6" t="inlineStr">
        <is>
          <t xml:space="preserve">AHL3NVDRX7_1</t>
        </is>
      </c>
      <c r="D217" s="15" t="inlineStr">
        <is>
          <t xml:space="preserve">W216_BRCA2_UTR5_01</t>
        </is>
      </c>
      <c r="E217" s="2">
        <v>1941</v>
      </c>
      <c r="F217" s="16" t="inlineStr">
        <is>
          <t xml:space="preserve">+</t>
        </is>
      </c>
      <c r="G217" s="4">
        <v>0.241</v>
      </c>
      <c r="H217" s="2">
        <v>1321</v>
      </c>
      <c r="I217" s="8" t="inlineStr">
        <is>
          <t xml:space="preserve">+</t>
        </is>
      </c>
      <c r="J217" s="4">
        <v>0.249</v>
      </c>
    </row>
    <row r="218">
      <c r="A218" s="5" t="inlineStr">
        <is>
          <t xml:space="preserve">BPTM-55-26S075016</t>
        </is>
      </c>
      <c r="B218" s="6" t="inlineStr">
        <is>
          <t xml:space="preserve">BPTM-55-26S075016</t>
        </is>
      </c>
      <c r="C218" s="6" t="inlineStr">
        <is>
          <t xml:space="preserve">AHL3NVDRX7_1</t>
        </is>
      </c>
      <c r="D218" s="15" t="inlineStr">
        <is>
          <t xml:space="preserve">W217_BRCA2_I01_01</t>
        </is>
      </c>
      <c r="E218" s="2">
        <v>4572</v>
      </c>
      <c r="F218" s="16" t="inlineStr">
        <is>
          <t xml:space="preserve">+</t>
        </is>
      </c>
      <c r="G218" s="4">
        <v>0.569</v>
      </c>
      <c r="H218" s="2">
        <v>2723</v>
      </c>
      <c r="I218" s="8" t="inlineStr">
        <is>
          <t xml:space="preserve">+</t>
        </is>
      </c>
      <c r="J218" s="4">
        <v>0.514</v>
      </c>
    </row>
    <row r="219">
      <c r="A219" s="5" t="inlineStr">
        <is>
          <t xml:space="preserve">BPTM-55-26S075016</t>
        </is>
      </c>
      <c r="B219" s="6" t="inlineStr">
        <is>
          <t xml:space="preserve">BPTM-55-26S075016</t>
        </is>
      </c>
      <c r="C219" s="6" t="inlineStr">
        <is>
          <t xml:space="preserve">AHL3NVDRX7_1</t>
        </is>
      </c>
      <c r="D219" s="15" t="inlineStr">
        <is>
          <t xml:space="preserve">W218_BRCA2_E02_01</t>
        </is>
      </c>
      <c r="E219" s="2">
        <v>6533</v>
      </c>
      <c r="F219" s="16" t="inlineStr">
        <is>
          <t xml:space="preserve">+</t>
        </is>
      </c>
      <c r="G219" s="4">
        <v>0.812</v>
      </c>
      <c r="H219" s="2">
        <v>4290</v>
      </c>
      <c r="I219" s="8" t="inlineStr">
        <is>
          <t xml:space="preserve">+</t>
        </is>
      </c>
      <c r="J219" s="4">
        <v>0.81</v>
      </c>
    </row>
    <row r="220">
      <c r="A220" s="5" t="inlineStr">
        <is>
          <t xml:space="preserve">BPTM-55-26S075016</t>
        </is>
      </c>
      <c r="B220" s="6" t="inlineStr">
        <is>
          <t xml:space="preserve">BPTM-55-26S075016</t>
        </is>
      </c>
      <c r="C220" s="6" t="inlineStr">
        <is>
          <t xml:space="preserve">AHL3NVDRX7_1</t>
        </is>
      </c>
      <c r="D220" s="15" t="inlineStr">
        <is>
          <t xml:space="preserve">W219_BRCA2_E02_02</t>
        </is>
      </c>
      <c r="E220" s="2">
        <v>13138</v>
      </c>
      <c r="F220" s="16" t="inlineStr">
        <is>
          <t xml:space="preserve">+</t>
        </is>
      </c>
      <c r="G220" s="4">
        <v>1.634</v>
      </c>
      <c r="H220" s="2">
        <v>8858</v>
      </c>
      <c r="I220" s="8" t="inlineStr">
        <is>
          <t xml:space="preserve">+</t>
        </is>
      </c>
      <c r="J220" s="4">
        <v>1.672</v>
      </c>
    </row>
    <row r="221">
      <c r="A221" s="5" t="inlineStr">
        <is>
          <t xml:space="preserve">BPTM-55-26S075016</t>
        </is>
      </c>
      <c r="B221" s="6" t="inlineStr">
        <is>
          <t xml:space="preserve">BPTM-55-26S075016</t>
        </is>
      </c>
      <c r="C221" s="6" t="inlineStr">
        <is>
          <t xml:space="preserve">AHL3NVDRX7_1</t>
        </is>
      </c>
      <c r="D221" s="15" t="inlineStr">
        <is>
          <t xml:space="preserve">W220_BRCA2_E02_03</t>
        </is>
      </c>
      <c r="E221" s="2">
        <v>7101</v>
      </c>
      <c r="F221" s="16" t="inlineStr">
        <is>
          <t xml:space="preserve">+</t>
        </is>
      </c>
      <c r="G221" s="4">
        <v>0.883</v>
      </c>
      <c r="H221" s="2">
        <v>4958</v>
      </c>
      <c r="I221" s="8" t="inlineStr">
        <is>
          <t xml:space="preserve">+</t>
        </is>
      </c>
      <c r="J221" s="4">
        <v>0.936</v>
      </c>
    </row>
    <row r="222">
      <c r="A222" s="5" t="inlineStr">
        <is>
          <t xml:space="preserve">BPTM-55-26S075016</t>
        </is>
      </c>
      <c r="B222" s="6" t="inlineStr">
        <is>
          <t xml:space="preserve">BPTM-55-26S075016</t>
        </is>
      </c>
      <c r="C222" s="6" t="inlineStr">
        <is>
          <t xml:space="preserve">AHL3NVDRX7_1</t>
        </is>
      </c>
      <c r="D222" s="15" t="inlineStr">
        <is>
          <t xml:space="preserve">W221_BRCA2_E03_01</t>
        </is>
      </c>
      <c r="E222" s="2">
        <v>2904</v>
      </c>
      <c r="F222" s="16" t="inlineStr">
        <is>
          <t xml:space="preserve">+</t>
        </is>
      </c>
      <c r="G222" s="4">
        <v>0.361</v>
      </c>
      <c r="H222" s="2">
        <v>2131</v>
      </c>
      <c r="I222" s="8" t="inlineStr">
        <is>
          <t xml:space="preserve">+</t>
        </is>
      </c>
      <c r="J222" s="4">
        <v>0.402</v>
      </c>
    </row>
    <row r="223">
      <c r="A223" s="5" t="inlineStr">
        <is>
          <t xml:space="preserve">BPTM-55-26S075016</t>
        </is>
      </c>
      <c r="B223" s="6" t="inlineStr">
        <is>
          <t xml:space="preserve">BPTM-55-26S075016</t>
        </is>
      </c>
      <c r="C223" s="6" t="inlineStr">
        <is>
          <t xml:space="preserve">AHL3NVDRX7_1</t>
        </is>
      </c>
      <c r="D223" s="15" t="inlineStr">
        <is>
          <t xml:space="preserve">W222_BRCA2_E03_02</t>
        </is>
      </c>
      <c r="E223" s="2">
        <v>5029</v>
      </c>
      <c r="F223" s="16" t="inlineStr">
        <is>
          <t xml:space="preserve">+</t>
        </is>
      </c>
      <c r="G223" s="4">
        <v>0.625</v>
      </c>
      <c r="H223" s="2">
        <v>3625</v>
      </c>
      <c r="I223" s="8" t="inlineStr">
        <is>
          <t xml:space="preserve">+</t>
        </is>
      </c>
      <c r="J223" s="4">
        <v>0.684</v>
      </c>
    </row>
    <row r="224">
      <c r="A224" s="5" t="inlineStr">
        <is>
          <t xml:space="preserve">BPTM-55-26S075016</t>
        </is>
      </c>
      <c r="B224" s="6" t="inlineStr">
        <is>
          <t xml:space="preserve">BPTM-55-26S075016</t>
        </is>
      </c>
      <c r="C224" s="6" t="inlineStr">
        <is>
          <t xml:space="preserve">AHL3NVDRX7_1</t>
        </is>
      </c>
      <c r="D224" s="15" t="inlineStr">
        <is>
          <t xml:space="preserve">W223_BRCA2_E03_03</t>
        </is>
      </c>
      <c r="E224" s="2">
        <v>9029</v>
      </c>
      <c r="F224" s="16" t="inlineStr">
        <is>
          <t xml:space="preserve">+</t>
        </is>
      </c>
      <c r="G224" s="4">
        <v>1.123</v>
      </c>
      <c r="H224" s="2">
        <v>6262</v>
      </c>
      <c r="I224" s="8" t="inlineStr">
        <is>
          <t xml:space="preserve">+</t>
        </is>
      </c>
      <c r="J224" s="4">
        <v>1.182</v>
      </c>
    </row>
    <row r="225">
      <c r="A225" s="5" t="inlineStr">
        <is>
          <t xml:space="preserve">BPTM-55-26S075016</t>
        </is>
      </c>
      <c r="B225" s="6" t="inlineStr">
        <is>
          <t xml:space="preserve">BPTM-55-26S075016</t>
        </is>
      </c>
      <c r="C225" s="6" t="inlineStr">
        <is>
          <t xml:space="preserve">AHL3NVDRX7_1</t>
        </is>
      </c>
      <c r="D225" s="15" t="inlineStr">
        <is>
          <t xml:space="preserve">W224_BRCA2_E04_01</t>
        </is>
      </c>
      <c r="E225" s="2">
        <v>8771</v>
      </c>
      <c r="F225" s="16" t="inlineStr">
        <is>
          <t xml:space="preserve">+</t>
        </is>
      </c>
      <c r="G225" s="4">
        <v>1.091</v>
      </c>
      <c r="H225" s="2">
        <v>5836</v>
      </c>
      <c r="I225" s="8" t="inlineStr">
        <is>
          <t xml:space="preserve">+</t>
        </is>
      </c>
      <c r="J225" s="4">
        <v>1.102</v>
      </c>
    </row>
    <row r="226">
      <c r="A226" s="5" t="inlineStr">
        <is>
          <t xml:space="preserve">BPTM-55-26S075016</t>
        </is>
      </c>
      <c r="B226" s="6" t="inlineStr">
        <is>
          <t xml:space="preserve">BPTM-55-26S075016</t>
        </is>
      </c>
      <c r="C226" s="6" t="inlineStr">
        <is>
          <t xml:space="preserve">AHL3NVDRX7_1</t>
        </is>
      </c>
      <c r="D226" s="15" t="inlineStr">
        <is>
          <t xml:space="preserve">W225_BRCA2_E04_02</t>
        </is>
      </c>
      <c r="E226" s="2">
        <v>7480</v>
      </c>
      <c r="F226" s="16" t="inlineStr">
        <is>
          <t xml:space="preserve">+</t>
        </is>
      </c>
      <c r="G226" s="4">
        <v>0.93</v>
      </c>
      <c r="H226" s="2">
        <v>4925</v>
      </c>
      <c r="I226" s="8" t="inlineStr">
        <is>
          <t xml:space="preserve">+</t>
        </is>
      </c>
      <c r="J226" s="4">
        <v>0.93</v>
      </c>
    </row>
    <row r="227">
      <c r="A227" s="5" t="inlineStr">
        <is>
          <t xml:space="preserve">BPTM-55-26S075016</t>
        </is>
      </c>
      <c r="B227" s="6" t="inlineStr">
        <is>
          <t xml:space="preserve">BPTM-55-26S075016</t>
        </is>
      </c>
      <c r="C227" s="6" t="inlineStr">
        <is>
          <t xml:space="preserve">AHL3NVDRX7_1</t>
        </is>
      </c>
      <c r="D227" s="15" t="inlineStr">
        <is>
          <t xml:space="preserve">W226_BRCA2_E04_03</t>
        </is>
      </c>
      <c r="E227" s="2">
        <v>5468</v>
      </c>
      <c r="F227" s="16" t="inlineStr">
        <is>
          <t xml:space="preserve">+</t>
        </is>
      </c>
      <c r="G227" s="4">
        <v>0.68</v>
      </c>
      <c r="H227" s="2">
        <v>3927</v>
      </c>
      <c r="I227" s="8" t="inlineStr">
        <is>
          <t xml:space="preserve">+</t>
        </is>
      </c>
      <c r="J227" s="4">
        <v>0.741</v>
      </c>
    </row>
    <row r="228">
      <c r="A228" s="5" t="inlineStr">
        <is>
          <t xml:space="preserve">BPTM-55-26S075016</t>
        </is>
      </c>
      <c r="B228" s="6" t="inlineStr">
        <is>
          <t xml:space="preserve">BPTM-55-26S075016</t>
        </is>
      </c>
      <c r="C228" s="6" t="inlineStr">
        <is>
          <t xml:space="preserve">AHL3NVDRX7_1</t>
        </is>
      </c>
      <c r="D228" s="15" t="inlineStr">
        <is>
          <t xml:space="preserve">W227_BRCA2_E05-07_01</t>
        </is>
      </c>
      <c r="E228" s="2">
        <v>10754</v>
      </c>
      <c r="F228" s="16" t="inlineStr">
        <is>
          <t xml:space="preserve">+</t>
        </is>
      </c>
      <c r="G228" s="4">
        <v>1.337</v>
      </c>
      <c r="H228" s="2">
        <v>7294</v>
      </c>
      <c r="I228" s="8" t="inlineStr">
        <is>
          <t xml:space="preserve">+</t>
        </is>
      </c>
      <c r="J228" s="4">
        <v>1.377</v>
      </c>
    </row>
    <row r="229">
      <c r="A229" s="5" t="inlineStr">
        <is>
          <t xml:space="preserve">BPTM-55-26S075016</t>
        </is>
      </c>
      <c r="B229" s="6" t="inlineStr">
        <is>
          <t xml:space="preserve">BPTM-55-26S075016</t>
        </is>
      </c>
      <c r="C229" s="6" t="inlineStr">
        <is>
          <t xml:space="preserve">AHL3NVDRX7_1</t>
        </is>
      </c>
      <c r="D229" s="15" t="inlineStr">
        <is>
          <t xml:space="preserve">W228_BRCA2_E05-07_02</t>
        </is>
      </c>
      <c r="E229" s="2">
        <v>1271</v>
      </c>
      <c r="F229" s="16" t="inlineStr">
        <is>
          <t xml:space="preserve">-</t>
        </is>
      </c>
      <c r="G229" s="4">
        <v>0.158</v>
      </c>
      <c r="H229" s="2">
        <v>947</v>
      </c>
      <c r="I229" s="8" t="inlineStr">
        <is>
          <t xml:space="preserve">-</t>
        </is>
      </c>
      <c r="J229" s="4">
        <v>0.179</v>
      </c>
    </row>
    <row r="230">
      <c r="A230" s="5" t="inlineStr">
        <is>
          <t xml:space="preserve">BPTM-55-26S075016</t>
        </is>
      </c>
      <c r="B230" s="6" t="inlineStr">
        <is>
          <t xml:space="preserve">BPTM-55-26S075016</t>
        </is>
      </c>
      <c r="C230" s="6" t="inlineStr">
        <is>
          <t xml:space="preserve">AHL3NVDRX7_1</t>
        </is>
      </c>
      <c r="D230" s="15" t="inlineStr">
        <is>
          <t xml:space="preserve">W229_BRCA2_E05-07_03</t>
        </is>
      </c>
      <c r="E230" s="2">
        <v>4298</v>
      </c>
      <c r="F230" s="16" t="inlineStr">
        <is>
          <t xml:space="preserve">+</t>
        </is>
      </c>
      <c r="G230" s="4">
        <v>0.534</v>
      </c>
      <c r="H230" s="2">
        <v>3106</v>
      </c>
      <c r="I230" s="8" t="inlineStr">
        <is>
          <t xml:space="preserve">+</t>
        </is>
      </c>
      <c r="J230" s="4">
        <v>0.586</v>
      </c>
    </row>
    <row r="231">
      <c r="A231" s="5" t="inlineStr">
        <is>
          <t xml:space="preserve">BPTM-55-26S075016</t>
        </is>
      </c>
      <c r="B231" s="6" t="inlineStr">
        <is>
          <t xml:space="preserve">BPTM-55-26S075016</t>
        </is>
      </c>
      <c r="C231" s="6" t="inlineStr">
        <is>
          <t xml:space="preserve">AHL3NVDRX7_1</t>
        </is>
      </c>
      <c r="D231" s="15" t="inlineStr">
        <is>
          <t xml:space="preserve">W230_BRCA2_E05-07_04</t>
        </is>
      </c>
      <c r="E231" s="2">
        <v>4983</v>
      </c>
      <c r="F231" s="16" t="inlineStr">
        <is>
          <t xml:space="preserve">+</t>
        </is>
      </c>
      <c r="G231" s="4">
        <v>0.62</v>
      </c>
      <c r="H231" s="2">
        <v>3446</v>
      </c>
      <c r="I231" s="8" t="inlineStr">
        <is>
          <t xml:space="preserve">+</t>
        </is>
      </c>
      <c r="J231" s="4">
        <v>0.651</v>
      </c>
    </row>
    <row r="232">
      <c r="A232" s="5" t="inlineStr">
        <is>
          <t xml:space="preserve">BPTM-55-26S075016</t>
        </is>
      </c>
      <c r="B232" s="6" t="inlineStr">
        <is>
          <t xml:space="preserve">BPTM-55-26S075016</t>
        </is>
      </c>
      <c r="C232" s="6" t="inlineStr">
        <is>
          <t xml:space="preserve">AHL3NVDRX7_1</t>
        </is>
      </c>
      <c r="D232" s="15" t="inlineStr">
        <is>
          <t xml:space="preserve">W231_BRCA2_E05-07_05</t>
        </is>
      </c>
      <c r="E232" s="2">
        <v>1791</v>
      </c>
      <c r="F232" s="16" t="inlineStr">
        <is>
          <t xml:space="preserve">+</t>
        </is>
      </c>
      <c r="G232" s="4">
        <v>0.223</v>
      </c>
      <c r="H232" s="2">
        <v>1293</v>
      </c>
      <c r="I232" s="8" t="inlineStr">
        <is>
          <t xml:space="preserve">+</t>
        </is>
      </c>
      <c r="J232" s="4">
        <v>0.244</v>
      </c>
    </row>
    <row r="233">
      <c r="A233" s="5" t="inlineStr">
        <is>
          <t xml:space="preserve">BPTM-55-26S075016</t>
        </is>
      </c>
      <c r="B233" s="6" t="inlineStr">
        <is>
          <t xml:space="preserve">BPTM-55-26S075016</t>
        </is>
      </c>
      <c r="C233" s="6" t="inlineStr">
        <is>
          <t xml:space="preserve">AHL3NVDRX7_1</t>
        </is>
      </c>
      <c r="D233" s="15" t="inlineStr">
        <is>
          <t xml:space="preserve">W232_BRCA2_E05-07_06</t>
        </is>
      </c>
      <c r="E233" s="2">
        <v>4867</v>
      </c>
      <c r="F233" s="16" t="inlineStr">
        <is>
          <t xml:space="preserve">+</t>
        </is>
      </c>
      <c r="G233" s="4">
        <v>0.605</v>
      </c>
      <c r="H233" s="2">
        <v>3302</v>
      </c>
      <c r="I233" s="8" t="inlineStr">
        <is>
          <t xml:space="preserve">+</t>
        </is>
      </c>
      <c r="J233" s="4">
        <v>0.623</v>
      </c>
    </row>
    <row r="234">
      <c r="A234" s="5" t="inlineStr">
        <is>
          <t xml:space="preserve">BPTM-55-26S075016</t>
        </is>
      </c>
      <c r="B234" s="6" t="inlineStr">
        <is>
          <t xml:space="preserve">BPTM-55-26S075016</t>
        </is>
      </c>
      <c r="C234" s="6" t="inlineStr">
        <is>
          <t xml:space="preserve">AHL3NVDRX7_1</t>
        </is>
      </c>
      <c r="D234" s="15" t="inlineStr">
        <is>
          <t xml:space="preserve">W233_BRCA2_E08_01</t>
        </is>
      </c>
      <c r="E234" s="2">
        <v>8465</v>
      </c>
      <c r="F234" s="16" t="inlineStr">
        <is>
          <t xml:space="preserve">+</t>
        </is>
      </c>
      <c r="G234" s="4">
        <v>1.053</v>
      </c>
      <c r="H234" s="2">
        <v>5749</v>
      </c>
      <c r="I234" s="8" t="inlineStr">
        <is>
          <t xml:space="preserve">+</t>
        </is>
      </c>
      <c r="J234" s="4">
        <v>1.085</v>
      </c>
    </row>
    <row r="235">
      <c r="A235" s="5" t="inlineStr">
        <is>
          <t xml:space="preserve">BPTM-55-26S075016</t>
        </is>
      </c>
      <c r="B235" s="6" t="inlineStr">
        <is>
          <t xml:space="preserve">BPTM-55-26S075016</t>
        </is>
      </c>
      <c r="C235" s="6" t="inlineStr">
        <is>
          <t xml:space="preserve">AHL3NVDRX7_1</t>
        </is>
      </c>
      <c r="D235" s="15" t="inlineStr">
        <is>
          <t xml:space="preserve">W234_BRCA2_E08_02</t>
        </is>
      </c>
      <c r="E235" s="2">
        <v>8822</v>
      </c>
      <c r="F235" s="16" t="inlineStr">
        <is>
          <t xml:space="preserve">+</t>
        </is>
      </c>
      <c r="G235" s="4">
        <v>1.097</v>
      </c>
      <c r="H235" s="2">
        <v>5980</v>
      </c>
      <c r="I235" s="8" t="inlineStr">
        <is>
          <t xml:space="preserve">+</t>
        </is>
      </c>
      <c r="J235" s="4">
        <v>1.129</v>
      </c>
    </row>
    <row r="236">
      <c r="A236" s="5" t="inlineStr">
        <is>
          <t xml:space="preserve">BPTM-55-26S075016</t>
        </is>
      </c>
      <c r="B236" s="6" t="inlineStr">
        <is>
          <t xml:space="preserve">BPTM-55-26S075016</t>
        </is>
      </c>
      <c r="C236" s="6" t="inlineStr">
        <is>
          <t xml:space="preserve">AHL3NVDRX7_1</t>
        </is>
      </c>
      <c r="D236" s="15" t="inlineStr">
        <is>
          <t xml:space="preserve">W235_BRCA2_E09_01</t>
        </is>
      </c>
      <c r="E236" s="2">
        <v>9972</v>
      </c>
      <c r="F236" s="16" t="inlineStr">
        <is>
          <t xml:space="preserve">+</t>
        </is>
      </c>
      <c r="G236" s="4">
        <v>1.24</v>
      </c>
      <c r="H236" s="2">
        <v>6970</v>
      </c>
      <c r="I236" s="8" t="inlineStr">
        <is>
          <t xml:space="preserve">+</t>
        </is>
      </c>
      <c r="J236" s="4">
        <v>1.316</v>
      </c>
    </row>
    <row r="237">
      <c r="A237" s="5" t="inlineStr">
        <is>
          <t xml:space="preserve">BPTM-55-26S075016</t>
        </is>
      </c>
      <c r="B237" s="6" t="inlineStr">
        <is>
          <t xml:space="preserve">BPTM-55-26S075016</t>
        </is>
      </c>
      <c r="C237" s="6" t="inlineStr">
        <is>
          <t xml:space="preserve">AHL3NVDRX7_1</t>
        </is>
      </c>
      <c r="D237" s="15" t="inlineStr">
        <is>
          <t xml:space="preserve">W236_BRCA2_E09_02</t>
        </is>
      </c>
      <c r="E237" s="2">
        <v>4497</v>
      </c>
      <c r="F237" s="16" t="inlineStr">
        <is>
          <t xml:space="preserve">+</t>
        </is>
      </c>
      <c r="G237" s="4">
        <v>0.559</v>
      </c>
      <c r="H237" s="2">
        <v>3009</v>
      </c>
      <c r="I237" s="8" t="inlineStr">
        <is>
          <t xml:space="preserve">+</t>
        </is>
      </c>
      <c r="J237" s="4">
        <v>0.568</v>
      </c>
    </row>
    <row r="238">
      <c r="A238" s="5" t="inlineStr">
        <is>
          <t xml:space="preserve">BPTM-55-26S075016</t>
        </is>
      </c>
      <c r="B238" s="6" t="inlineStr">
        <is>
          <t xml:space="preserve">BPTM-55-26S075016</t>
        </is>
      </c>
      <c r="C238" s="6" t="inlineStr">
        <is>
          <t xml:space="preserve">AHL3NVDRX7_1</t>
        </is>
      </c>
      <c r="D238" s="15" t="inlineStr">
        <is>
          <t xml:space="preserve">W237_BRCA2_E10_01</t>
        </is>
      </c>
      <c r="E238" s="2">
        <v>6776</v>
      </c>
      <c r="F238" s="16" t="inlineStr">
        <is>
          <t xml:space="preserve">+</t>
        </is>
      </c>
      <c r="G238" s="4">
        <v>0.843</v>
      </c>
      <c r="H238" s="2">
        <v>4844</v>
      </c>
      <c r="I238" s="8" t="inlineStr">
        <is>
          <t xml:space="preserve">+</t>
        </is>
      </c>
      <c r="J238" s="4">
        <v>0.914</v>
      </c>
    </row>
    <row r="239">
      <c r="A239" s="5" t="inlineStr">
        <is>
          <t xml:space="preserve">BPTM-55-26S075016</t>
        </is>
      </c>
      <c r="B239" s="6" t="inlineStr">
        <is>
          <t xml:space="preserve">BPTM-55-26S075016</t>
        </is>
      </c>
      <c r="C239" s="6" t="inlineStr">
        <is>
          <t xml:space="preserve">AHL3NVDRX7_1</t>
        </is>
      </c>
      <c r="D239" s="15" t="inlineStr">
        <is>
          <t xml:space="preserve">W238_BRCA2_E10_02</t>
        </is>
      </c>
      <c r="E239" s="2">
        <v>7385</v>
      </c>
      <c r="F239" s="16" t="inlineStr">
        <is>
          <t xml:space="preserve">+</t>
        </is>
      </c>
      <c r="G239" s="4">
        <v>0.918</v>
      </c>
      <c r="H239" s="2">
        <v>5142</v>
      </c>
      <c r="I239" s="8" t="inlineStr">
        <is>
          <t xml:space="preserve">+</t>
        </is>
      </c>
      <c r="J239" s="4">
        <v>0.971</v>
      </c>
    </row>
    <row r="240">
      <c r="A240" s="5" t="inlineStr">
        <is>
          <t xml:space="preserve">BPTM-55-26S075016</t>
        </is>
      </c>
      <c r="B240" s="6" t="inlineStr">
        <is>
          <t xml:space="preserve">BPTM-55-26S075016</t>
        </is>
      </c>
      <c r="C240" s="6" t="inlineStr">
        <is>
          <t xml:space="preserve">AHL3NVDRX7_1</t>
        </is>
      </c>
      <c r="D240" s="15" t="inlineStr">
        <is>
          <t xml:space="preserve">W239_BRCA2_E10_03</t>
        </is>
      </c>
      <c r="E240" s="2">
        <v>2783</v>
      </c>
      <c r="F240" s="16" t="inlineStr">
        <is>
          <t xml:space="preserve">+</t>
        </is>
      </c>
      <c r="G240" s="4">
        <v>0.346</v>
      </c>
      <c r="H240" s="2">
        <v>1989</v>
      </c>
      <c r="I240" s="8" t="inlineStr">
        <is>
          <t xml:space="preserve">+</t>
        </is>
      </c>
      <c r="J240" s="4">
        <v>0.375</v>
      </c>
    </row>
    <row r="241">
      <c r="A241" s="5" t="inlineStr">
        <is>
          <t xml:space="preserve">BPTM-55-26S075016</t>
        </is>
      </c>
      <c r="B241" s="6" t="inlineStr">
        <is>
          <t xml:space="preserve">BPTM-55-26S075016</t>
        </is>
      </c>
      <c r="C241" s="6" t="inlineStr">
        <is>
          <t xml:space="preserve">AHL3NVDRX7_1</t>
        </is>
      </c>
      <c r="D241" s="15" t="inlineStr">
        <is>
          <t xml:space="preserve">W240_BRCA2_E10_04</t>
        </is>
      </c>
      <c r="E241" s="2">
        <v>6091</v>
      </c>
      <c r="F241" s="16" t="inlineStr">
        <is>
          <t xml:space="preserve">+</t>
        </is>
      </c>
      <c r="G241" s="4">
        <v>0.757</v>
      </c>
      <c r="H241" s="2">
        <v>4347</v>
      </c>
      <c r="I241" s="8" t="inlineStr">
        <is>
          <t xml:space="preserve">+</t>
        </is>
      </c>
      <c r="J241" s="4">
        <v>0.821</v>
      </c>
    </row>
    <row r="242">
      <c r="A242" s="5" t="inlineStr">
        <is>
          <t xml:space="preserve">BPTM-55-26S075016</t>
        </is>
      </c>
      <c r="B242" s="6" t="inlineStr">
        <is>
          <t xml:space="preserve">BPTM-55-26S075016</t>
        </is>
      </c>
      <c r="C242" s="6" t="inlineStr">
        <is>
          <t xml:space="preserve">AHL3NVDRX7_1</t>
        </is>
      </c>
      <c r="D242" s="15" t="inlineStr">
        <is>
          <t xml:space="preserve">W241_BRCA2_E10_05</t>
        </is>
      </c>
      <c r="E242" s="2">
        <v>5819</v>
      </c>
      <c r="F242" s="16" t="inlineStr">
        <is>
          <t xml:space="preserve">+</t>
        </is>
      </c>
      <c r="G242" s="4">
        <v>0.724</v>
      </c>
      <c r="H242" s="2">
        <v>4053</v>
      </c>
      <c r="I242" s="8" t="inlineStr">
        <is>
          <t xml:space="preserve">+</t>
        </is>
      </c>
      <c r="J242" s="4">
        <v>0.765</v>
      </c>
    </row>
    <row r="243">
      <c r="A243" s="5" t="inlineStr">
        <is>
          <t xml:space="preserve">BPTM-55-26S075016</t>
        </is>
      </c>
      <c r="B243" s="6" t="inlineStr">
        <is>
          <t xml:space="preserve">BPTM-55-26S075016</t>
        </is>
      </c>
      <c r="C243" s="6" t="inlineStr">
        <is>
          <t xml:space="preserve">AHL3NVDRX7_1</t>
        </is>
      </c>
      <c r="D243" s="15" t="inlineStr">
        <is>
          <t xml:space="preserve">W242_BRCA2_E10_06</t>
        </is>
      </c>
      <c r="E243" s="2">
        <v>4044</v>
      </c>
      <c r="F243" s="16" t="inlineStr">
        <is>
          <t xml:space="preserve">+</t>
        </is>
      </c>
      <c r="G243" s="4">
        <v>0.503</v>
      </c>
      <c r="H243" s="2">
        <v>2996</v>
      </c>
      <c r="I243" s="8" t="inlineStr">
        <is>
          <t xml:space="preserve">+</t>
        </is>
      </c>
      <c r="J243" s="4">
        <v>0.566</v>
      </c>
    </row>
    <row r="244">
      <c r="A244" s="5" t="inlineStr">
        <is>
          <t xml:space="preserve">BPTM-55-26S075016</t>
        </is>
      </c>
      <c r="B244" s="6" t="inlineStr">
        <is>
          <t xml:space="preserve">BPTM-55-26S075016</t>
        </is>
      </c>
      <c r="C244" s="6" t="inlineStr">
        <is>
          <t xml:space="preserve">AHL3NVDRX7_1</t>
        </is>
      </c>
      <c r="D244" s="15" t="inlineStr">
        <is>
          <t xml:space="preserve">W243_BRCA2_E10_07</t>
        </is>
      </c>
      <c r="E244" s="2">
        <v>2583</v>
      </c>
      <c r="F244" s="16" t="inlineStr">
        <is>
          <t xml:space="preserve">+</t>
        </is>
      </c>
      <c r="G244" s="4">
        <v>0.321</v>
      </c>
      <c r="H244" s="2">
        <v>1870</v>
      </c>
      <c r="I244" s="8" t="inlineStr">
        <is>
          <t xml:space="preserve">+</t>
        </is>
      </c>
      <c r="J244" s="4">
        <v>0.353</v>
      </c>
    </row>
    <row r="245">
      <c r="A245" s="5" t="inlineStr">
        <is>
          <t xml:space="preserve">BPTM-55-26S075016</t>
        </is>
      </c>
      <c r="B245" s="6" t="inlineStr">
        <is>
          <t xml:space="preserve">BPTM-55-26S075016</t>
        </is>
      </c>
      <c r="C245" s="6" t="inlineStr">
        <is>
          <t xml:space="preserve">AHL3NVDRX7_1</t>
        </is>
      </c>
      <c r="D245" s="15" t="inlineStr">
        <is>
          <t xml:space="preserve">W244_BRCA2_E10_08</t>
        </is>
      </c>
      <c r="E245" s="2">
        <v>7877</v>
      </c>
      <c r="F245" s="16" t="inlineStr">
        <is>
          <t xml:space="preserve">+</t>
        </is>
      </c>
      <c r="G245" s="4">
        <v>0.98</v>
      </c>
      <c r="H245" s="2">
        <v>5411</v>
      </c>
      <c r="I245" s="8" t="inlineStr">
        <is>
          <t xml:space="preserve">+</t>
        </is>
      </c>
      <c r="J245" s="4">
        <v>1.021</v>
      </c>
    </row>
    <row r="246">
      <c r="A246" s="5" t="inlineStr">
        <is>
          <t xml:space="preserve">BPTM-55-26S075016</t>
        </is>
      </c>
      <c r="B246" s="6" t="inlineStr">
        <is>
          <t xml:space="preserve">BPTM-55-26S075016</t>
        </is>
      </c>
      <c r="C246" s="6" t="inlineStr">
        <is>
          <t xml:space="preserve">AHL3NVDRX7_1</t>
        </is>
      </c>
      <c r="D246" s="15" t="inlineStr">
        <is>
          <t xml:space="preserve">W245_BRCA2_E10_09</t>
        </is>
      </c>
      <c r="E246" s="2">
        <v>5521</v>
      </c>
      <c r="F246" s="16" t="inlineStr">
        <is>
          <t xml:space="preserve">+</t>
        </is>
      </c>
      <c r="G246" s="4">
        <v>0.687</v>
      </c>
      <c r="H246" s="2">
        <v>3946</v>
      </c>
      <c r="I246" s="8" t="inlineStr">
        <is>
          <t xml:space="preserve">+</t>
        </is>
      </c>
      <c r="J246" s="4">
        <v>0.745</v>
      </c>
    </row>
    <row r="247">
      <c r="A247" s="5" t="inlineStr">
        <is>
          <t xml:space="preserve">BPTM-55-26S075016</t>
        </is>
      </c>
      <c r="B247" s="6" t="inlineStr">
        <is>
          <t xml:space="preserve">BPTM-55-26S075016</t>
        </is>
      </c>
      <c r="C247" s="6" t="inlineStr">
        <is>
          <t xml:space="preserve">AHL3NVDRX7_1</t>
        </is>
      </c>
      <c r="D247" s="15" t="inlineStr">
        <is>
          <t xml:space="preserve">W246_BRCA2_E10_10</t>
        </is>
      </c>
      <c r="E247" s="2">
        <v>5380</v>
      </c>
      <c r="F247" s="16" t="inlineStr">
        <is>
          <t xml:space="preserve">+</t>
        </is>
      </c>
      <c r="G247" s="4">
        <v>0.669</v>
      </c>
      <c r="H247" s="2">
        <v>3790</v>
      </c>
      <c r="I247" s="8" t="inlineStr">
        <is>
          <t xml:space="preserve">+</t>
        </is>
      </c>
      <c r="J247" s="4">
        <v>0.715</v>
      </c>
    </row>
    <row r="248">
      <c r="A248" s="5" t="inlineStr">
        <is>
          <t xml:space="preserve">BPTM-55-26S075016</t>
        </is>
      </c>
      <c r="B248" s="6" t="inlineStr">
        <is>
          <t xml:space="preserve">BPTM-55-26S075016</t>
        </is>
      </c>
      <c r="C248" s="6" t="inlineStr">
        <is>
          <t xml:space="preserve">AHL3NVDRX7_1</t>
        </is>
      </c>
      <c r="D248" s="15" t="inlineStr">
        <is>
          <t xml:space="preserve">W247_BRCA2_E10_11</t>
        </is>
      </c>
      <c r="E248" s="2">
        <v>7852</v>
      </c>
      <c r="F248" s="16" t="inlineStr">
        <is>
          <t xml:space="preserve">+</t>
        </is>
      </c>
      <c r="G248" s="4">
        <v>0.976</v>
      </c>
      <c r="H248" s="2">
        <v>5444</v>
      </c>
      <c r="I248" s="8" t="inlineStr">
        <is>
          <t xml:space="preserve">+</t>
        </is>
      </c>
      <c r="J248" s="4">
        <v>1.028</v>
      </c>
    </row>
    <row r="249">
      <c r="A249" s="5" t="inlineStr">
        <is>
          <t xml:space="preserve">BPTM-55-26S075016</t>
        </is>
      </c>
      <c r="B249" s="6" t="inlineStr">
        <is>
          <t xml:space="preserve">BPTM-55-26S075016</t>
        </is>
      </c>
      <c r="C249" s="6" t="inlineStr">
        <is>
          <t xml:space="preserve">AHL3NVDRX7_1</t>
        </is>
      </c>
      <c r="D249" s="15" t="inlineStr">
        <is>
          <t xml:space="preserve">W248_BRCA2_E10_12</t>
        </is>
      </c>
      <c r="E249" s="2">
        <v>4437</v>
      </c>
      <c r="F249" s="16" t="inlineStr">
        <is>
          <t xml:space="preserve">+</t>
        </is>
      </c>
      <c r="G249" s="4">
        <v>0.552</v>
      </c>
      <c r="H249" s="2">
        <v>3164</v>
      </c>
      <c r="I249" s="8" t="inlineStr">
        <is>
          <t xml:space="preserve">+</t>
        </is>
      </c>
      <c r="J249" s="4">
        <v>0.597</v>
      </c>
    </row>
    <row r="250">
      <c r="A250" s="5" t="inlineStr">
        <is>
          <t xml:space="preserve">BPTM-55-26S075016</t>
        </is>
      </c>
      <c r="B250" s="6" t="inlineStr">
        <is>
          <t xml:space="preserve">BPTM-55-26S075016</t>
        </is>
      </c>
      <c r="C250" s="6" t="inlineStr">
        <is>
          <t xml:space="preserve">AHL3NVDRX7_1</t>
        </is>
      </c>
      <c r="D250" s="15" t="inlineStr">
        <is>
          <t xml:space="preserve">W0121_BRCA2_E10</t>
        </is>
      </c>
      <c r="E250" s="2">
        <v>5350</v>
      </c>
      <c r="F250" s="16" t="inlineStr">
        <is>
          <t xml:space="preserve">+</t>
        </is>
      </c>
      <c r="G250" s="4">
        <v>0.665</v>
      </c>
      <c r="H250" s="2">
        <v>3831</v>
      </c>
      <c r="I250" s="8" t="inlineStr">
        <is>
          <t xml:space="preserve">+</t>
        </is>
      </c>
      <c r="J250" s="4">
        <v>0.723</v>
      </c>
    </row>
    <row r="251">
      <c r="A251" s="5" t="inlineStr">
        <is>
          <t xml:space="preserve">BPTM-55-26S075016</t>
        </is>
      </c>
      <c r="B251" s="6" t="inlineStr">
        <is>
          <t xml:space="preserve">BPTM-55-26S075016</t>
        </is>
      </c>
      <c r="C251" s="6" t="inlineStr">
        <is>
          <t xml:space="preserve">AHL3NVDRX7_1</t>
        </is>
      </c>
      <c r="D251" s="15" t="inlineStr">
        <is>
          <t xml:space="preserve">W250_BRCA2_E11_01</t>
        </is>
      </c>
      <c r="E251" s="2">
        <v>4266</v>
      </c>
      <c r="F251" s="16" t="inlineStr">
        <is>
          <t xml:space="preserve">+</t>
        </is>
      </c>
      <c r="G251" s="4">
        <v>0.53</v>
      </c>
      <c r="H251" s="2">
        <v>2970</v>
      </c>
      <c r="I251" s="8" t="inlineStr">
        <is>
          <t xml:space="preserve">+</t>
        </is>
      </c>
      <c r="J251" s="4">
        <v>0.561</v>
      </c>
    </row>
    <row r="252">
      <c r="A252" s="5" t="inlineStr">
        <is>
          <t xml:space="preserve">BPTM-55-26S075016</t>
        </is>
      </c>
      <c r="B252" s="6" t="inlineStr">
        <is>
          <t xml:space="preserve">BPTM-55-26S075016</t>
        </is>
      </c>
      <c r="C252" s="6" t="inlineStr">
        <is>
          <t xml:space="preserve">AHL3NVDRX7_1</t>
        </is>
      </c>
      <c r="D252" s="15" t="inlineStr">
        <is>
          <t xml:space="preserve">W251_BRCA2_E11_02</t>
        </is>
      </c>
      <c r="E252" s="2">
        <v>4193</v>
      </c>
      <c r="F252" s="16" t="inlineStr">
        <is>
          <t xml:space="preserve">+</t>
        </is>
      </c>
      <c r="G252" s="4">
        <v>0.521</v>
      </c>
      <c r="H252" s="2">
        <v>3098</v>
      </c>
      <c r="I252" s="8" t="inlineStr">
        <is>
          <t xml:space="preserve">+</t>
        </is>
      </c>
      <c r="J252" s="4">
        <v>0.585</v>
      </c>
    </row>
    <row r="253">
      <c r="A253" s="5" t="inlineStr">
        <is>
          <t xml:space="preserve">BPTM-55-26S075016</t>
        </is>
      </c>
      <c r="B253" s="6" t="inlineStr">
        <is>
          <t xml:space="preserve">BPTM-55-26S075016</t>
        </is>
      </c>
      <c r="C253" s="6" t="inlineStr">
        <is>
          <t xml:space="preserve">AHL3NVDRX7_1</t>
        </is>
      </c>
      <c r="D253" s="15" t="inlineStr">
        <is>
          <t xml:space="preserve">W252_BRCA2_E11_03</t>
        </is>
      </c>
      <c r="E253" s="2">
        <v>3384</v>
      </c>
      <c r="F253" s="16" t="inlineStr">
        <is>
          <t xml:space="preserve">+</t>
        </is>
      </c>
      <c r="G253" s="4">
        <v>0.421</v>
      </c>
      <c r="H253" s="2">
        <v>2443</v>
      </c>
      <c r="I253" s="8" t="inlineStr">
        <is>
          <t xml:space="preserve">+</t>
        </is>
      </c>
      <c r="J253" s="4">
        <v>0.461</v>
      </c>
    </row>
    <row r="254">
      <c r="A254" s="5" t="inlineStr">
        <is>
          <t xml:space="preserve">BPTM-55-26S075016</t>
        </is>
      </c>
      <c r="B254" s="6" t="inlineStr">
        <is>
          <t xml:space="preserve">BPTM-55-26S075016</t>
        </is>
      </c>
      <c r="C254" s="6" t="inlineStr">
        <is>
          <t xml:space="preserve">AHL3NVDRX7_1</t>
        </is>
      </c>
      <c r="D254" s="15" t="inlineStr">
        <is>
          <t xml:space="preserve">W253_BRCA2_E11_04</t>
        </is>
      </c>
      <c r="E254" s="2">
        <v>4000</v>
      </c>
      <c r="F254" s="16" t="inlineStr">
        <is>
          <t xml:space="preserve">+</t>
        </is>
      </c>
      <c r="G254" s="4">
        <v>0.497</v>
      </c>
      <c r="H254" s="2">
        <v>2913</v>
      </c>
      <c r="I254" s="8" t="inlineStr">
        <is>
          <t xml:space="preserve">+</t>
        </is>
      </c>
      <c r="J254" s="4">
        <v>0.55</v>
      </c>
    </row>
    <row r="255">
      <c r="A255" s="5" t="inlineStr">
        <is>
          <t xml:space="preserve">BPTM-55-26S075016</t>
        </is>
      </c>
      <c r="B255" s="6" t="inlineStr">
        <is>
          <t xml:space="preserve">BPTM-55-26S075016</t>
        </is>
      </c>
      <c r="C255" s="6" t="inlineStr">
        <is>
          <t xml:space="preserve">AHL3NVDRX7_1</t>
        </is>
      </c>
      <c r="D255" s="15" t="inlineStr">
        <is>
          <t xml:space="preserve">W254_BRCA2_E11_05</t>
        </is>
      </c>
      <c r="E255" s="2">
        <v>4665</v>
      </c>
      <c r="F255" s="16" t="inlineStr">
        <is>
          <t xml:space="preserve">+</t>
        </is>
      </c>
      <c r="G255" s="4">
        <v>0.58</v>
      </c>
      <c r="H255" s="2">
        <v>3344</v>
      </c>
      <c r="I255" s="8" t="inlineStr">
        <is>
          <t xml:space="preserve">+</t>
        </is>
      </c>
      <c r="J255" s="4">
        <v>0.631</v>
      </c>
    </row>
    <row r="256">
      <c r="A256" s="5" t="inlineStr">
        <is>
          <t xml:space="preserve">BPTM-55-26S075016</t>
        </is>
      </c>
      <c r="B256" s="6" t="inlineStr">
        <is>
          <t xml:space="preserve">BPTM-55-26S075016</t>
        </is>
      </c>
      <c r="C256" s="6" t="inlineStr">
        <is>
          <t xml:space="preserve">AHL3NVDRX7_1</t>
        </is>
      </c>
      <c r="D256" s="15" t="inlineStr">
        <is>
          <t xml:space="preserve">W255_BRCA2_E11_06</t>
        </is>
      </c>
      <c r="E256" s="2">
        <v>7160</v>
      </c>
      <c r="F256" s="16" t="inlineStr">
        <is>
          <t xml:space="preserve">+</t>
        </is>
      </c>
      <c r="G256" s="4">
        <v>0.89</v>
      </c>
      <c r="H256" s="2">
        <v>5169</v>
      </c>
      <c r="I256" s="8" t="inlineStr">
        <is>
          <t xml:space="preserve">+</t>
        </is>
      </c>
      <c r="J256" s="4">
        <v>0.976</v>
      </c>
    </row>
    <row r="257">
      <c r="A257" s="5" t="inlineStr">
        <is>
          <t xml:space="preserve">BPTM-55-26S075016</t>
        </is>
      </c>
      <c r="B257" s="6" t="inlineStr">
        <is>
          <t xml:space="preserve">BPTM-55-26S075016</t>
        </is>
      </c>
      <c r="C257" s="6" t="inlineStr">
        <is>
          <t xml:space="preserve">AHL3NVDRX7_1</t>
        </is>
      </c>
      <c r="D257" s="15" t="inlineStr">
        <is>
          <t xml:space="preserve">W256_BRCA2_E11_07</t>
        </is>
      </c>
      <c r="E257" s="2">
        <v>4931</v>
      </c>
      <c r="F257" s="16" t="inlineStr">
        <is>
          <t xml:space="preserve">+</t>
        </is>
      </c>
      <c r="G257" s="4">
        <v>0.613</v>
      </c>
      <c r="H257" s="2">
        <v>3495</v>
      </c>
      <c r="I257" s="8" t="inlineStr">
        <is>
          <t xml:space="preserve">+</t>
        </is>
      </c>
      <c r="J257" s="4">
        <v>0.66</v>
      </c>
    </row>
    <row r="258">
      <c r="A258" s="5" t="inlineStr">
        <is>
          <t xml:space="preserve">BPTM-55-26S075016</t>
        </is>
      </c>
      <c r="B258" s="6" t="inlineStr">
        <is>
          <t xml:space="preserve">BPTM-55-26S075016</t>
        </is>
      </c>
      <c r="C258" s="6" t="inlineStr">
        <is>
          <t xml:space="preserve">AHL3NVDRX7_1</t>
        </is>
      </c>
      <c r="D258" s="15" t="inlineStr">
        <is>
          <t xml:space="preserve">W257_BRCA2_E11_08</t>
        </is>
      </c>
      <c r="E258" s="2">
        <v>4646</v>
      </c>
      <c r="F258" s="16" t="inlineStr">
        <is>
          <t xml:space="preserve">+</t>
        </is>
      </c>
      <c r="G258" s="4">
        <v>0.578</v>
      </c>
      <c r="H258" s="2">
        <v>3293</v>
      </c>
      <c r="I258" s="8" t="inlineStr">
        <is>
          <t xml:space="preserve">+</t>
        </is>
      </c>
      <c r="J258" s="4">
        <v>0.622</v>
      </c>
    </row>
    <row r="259">
      <c r="A259" s="5" t="inlineStr">
        <is>
          <t xml:space="preserve">BPTM-55-26S075016</t>
        </is>
      </c>
      <c r="B259" s="6" t="inlineStr">
        <is>
          <t xml:space="preserve">BPTM-55-26S075016</t>
        </is>
      </c>
      <c r="C259" s="6" t="inlineStr">
        <is>
          <t xml:space="preserve">AHL3NVDRX7_1</t>
        </is>
      </c>
      <c r="D259" s="15" t="inlineStr">
        <is>
          <t xml:space="preserve">W258_BRCA2_E11_09</t>
        </is>
      </c>
      <c r="E259" s="2">
        <v>3601</v>
      </c>
      <c r="F259" s="16" t="inlineStr">
        <is>
          <t xml:space="preserve">+</t>
        </is>
      </c>
      <c r="G259" s="4">
        <v>0.448</v>
      </c>
      <c r="H259" s="2">
        <v>2616</v>
      </c>
      <c r="I259" s="8" t="inlineStr">
        <is>
          <t xml:space="preserve">+</t>
        </is>
      </c>
      <c r="J259" s="4">
        <v>0.494</v>
      </c>
    </row>
    <row r="260">
      <c r="A260" s="5" t="inlineStr">
        <is>
          <t xml:space="preserve">BPTM-55-26S075016</t>
        </is>
      </c>
      <c r="B260" s="6" t="inlineStr">
        <is>
          <t xml:space="preserve">BPTM-55-26S075016</t>
        </is>
      </c>
      <c r="C260" s="6" t="inlineStr">
        <is>
          <t xml:space="preserve">AHL3NVDRX7_1</t>
        </is>
      </c>
      <c r="D260" s="15" t="inlineStr">
        <is>
          <t xml:space="preserve">W259_BRCA2_E11_10</t>
        </is>
      </c>
      <c r="E260" s="2">
        <v>5154</v>
      </c>
      <c r="F260" s="16" t="inlineStr">
        <is>
          <t xml:space="preserve">+</t>
        </is>
      </c>
      <c r="G260" s="4">
        <v>0.641</v>
      </c>
      <c r="H260" s="2">
        <v>3702</v>
      </c>
      <c r="I260" s="8" t="inlineStr">
        <is>
          <t xml:space="preserve">+</t>
        </is>
      </c>
      <c r="J260" s="4">
        <v>0.699</v>
      </c>
    </row>
    <row r="261">
      <c r="A261" s="5" t="inlineStr">
        <is>
          <t xml:space="preserve">BPTM-55-26S075016</t>
        </is>
      </c>
      <c r="B261" s="6" t="inlineStr">
        <is>
          <t xml:space="preserve">BPTM-55-26S075016</t>
        </is>
      </c>
      <c r="C261" s="6" t="inlineStr">
        <is>
          <t xml:space="preserve">AHL3NVDRX7_1</t>
        </is>
      </c>
      <c r="D261" s="15" t="inlineStr">
        <is>
          <t xml:space="preserve">W260_BRCA2_E11_11</t>
        </is>
      </c>
      <c r="E261" s="2">
        <v>3760</v>
      </c>
      <c r="F261" s="16" t="inlineStr">
        <is>
          <t xml:space="preserve">+</t>
        </is>
      </c>
      <c r="G261" s="4">
        <v>0.468</v>
      </c>
      <c r="H261" s="2">
        <v>2654</v>
      </c>
      <c r="I261" s="8" t="inlineStr">
        <is>
          <t xml:space="preserve">+</t>
        </is>
      </c>
      <c r="J261" s="4">
        <v>0.501</v>
      </c>
    </row>
    <row r="262">
      <c r="A262" s="5" t="inlineStr">
        <is>
          <t xml:space="preserve">BPTM-55-26S075016</t>
        </is>
      </c>
      <c r="B262" s="6" t="inlineStr">
        <is>
          <t xml:space="preserve">BPTM-55-26S075016</t>
        </is>
      </c>
      <c r="C262" s="6" t="inlineStr">
        <is>
          <t xml:space="preserve">AHL3NVDRX7_1</t>
        </is>
      </c>
      <c r="D262" s="15" t="inlineStr">
        <is>
          <t xml:space="preserve">W261_BRCA2_E11_12</t>
        </is>
      </c>
      <c r="E262" s="2">
        <v>6550</v>
      </c>
      <c r="F262" s="16" t="inlineStr">
        <is>
          <t xml:space="preserve">+</t>
        </is>
      </c>
      <c r="G262" s="4">
        <v>0.815</v>
      </c>
      <c r="H262" s="2">
        <v>4439</v>
      </c>
      <c r="I262" s="8" t="inlineStr">
        <is>
          <t xml:space="preserve">+</t>
        </is>
      </c>
      <c r="J262" s="4">
        <v>0.838</v>
      </c>
    </row>
    <row r="263">
      <c r="A263" s="5" t="inlineStr">
        <is>
          <t xml:space="preserve">BPTM-55-26S075016</t>
        </is>
      </c>
      <c r="B263" s="6" t="inlineStr">
        <is>
          <t xml:space="preserve">BPTM-55-26S075016</t>
        </is>
      </c>
      <c r="C263" s="6" t="inlineStr">
        <is>
          <t xml:space="preserve">AHL3NVDRX7_1</t>
        </is>
      </c>
      <c r="D263" s="15" t="inlineStr">
        <is>
          <t xml:space="preserve">W262_BRCA2_E11_13</t>
        </is>
      </c>
      <c r="E263" s="2">
        <v>4577</v>
      </c>
      <c r="F263" s="16" t="inlineStr">
        <is>
          <t xml:space="preserve">+</t>
        </is>
      </c>
      <c r="G263" s="4">
        <v>0.569</v>
      </c>
      <c r="H263" s="2">
        <v>3253</v>
      </c>
      <c r="I263" s="8" t="inlineStr">
        <is>
          <t xml:space="preserve">+</t>
        </is>
      </c>
      <c r="J263" s="4">
        <v>0.614</v>
      </c>
    </row>
    <row r="264">
      <c r="A264" s="5" t="inlineStr">
        <is>
          <t xml:space="preserve">BPTM-55-26S075016</t>
        </is>
      </c>
      <c r="B264" s="6" t="inlineStr">
        <is>
          <t xml:space="preserve">BPTM-55-26S075016</t>
        </is>
      </c>
      <c r="C264" s="6" t="inlineStr">
        <is>
          <t xml:space="preserve">AHL3NVDRX7_1</t>
        </is>
      </c>
      <c r="D264" s="15" t="inlineStr">
        <is>
          <t xml:space="preserve">W263_BRCA2_E11_14</t>
        </is>
      </c>
      <c r="E264" s="2">
        <v>4980</v>
      </c>
      <c r="F264" s="16" t="inlineStr">
        <is>
          <t xml:space="preserve">+</t>
        </is>
      </c>
      <c r="G264" s="4">
        <v>0.619</v>
      </c>
      <c r="H264" s="2">
        <v>3511</v>
      </c>
      <c r="I264" s="8" t="inlineStr">
        <is>
          <t xml:space="preserve">+</t>
        </is>
      </c>
      <c r="J264" s="4">
        <v>0.663</v>
      </c>
    </row>
    <row r="265">
      <c r="A265" s="5" t="inlineStr">
        <is>
          <t xml:space="preserve">BPTM-55-26S075016</t>
        </is>
      </c>
      <c r="B265" s="6" t="inlineStr">
        <is>
          <t xml:space="preserve">BPTM-55-26S075016</t>
        </is>
      </c>
      <c r="C265" s="6" t="inlineStr">
        <is>
          <t xml:space="preserve">AHL3NVDRX7_1</t>
        </is>
      </c>
      <c r="D265" s="15" t="inlineStr">
        <is>
          <t xml:space="preserve">W264_BRCA2_E11_15</t>
        </is>
      </c>
      <c r="E265" s="2">
        <v>4130</v>
      </c>
      <c r="F265" s="16" t="inlineStr">
        <is>
          <t xml:space="preserve">+</t>
        </is>
      </c>
      <c r="G265" s="4">
        <v>0.514</v>
      </c>
      <c r="H265" s="2">
        <v>2876</v>
      </c>
      <c r="I265" s="8" t="inlineStr">
        <is>
          <t xml:space="preserve">+</t>
        </is>
      </c>
      <c r="J265" s="4">
        <v>0.543</v>
      </c>
    </row>
    <row r="266">
      <c r="A266" s="5" t="inlineStr">
        <is>
          <t xml:space="preserve">BPTM-55-26S075016</t>
        </is>
      </c>
      <c r="B266" s="6" t="inlineStr">
        <is>
          <t xml:space="preserve">BPTM-55-26S075016</t>
        </is>
      </c>
      <c r="C266" s="6" t="inlineStr">
        <is>
          <t xml:space="preserve">AHL3NVDRX7_1</t>
        </is>
      </c>
      <c r="D266" s="15" t="inlineStr">
        <is>
          <t xml:space="preserve">W265_BRCA2_E11_16</t>
        </is>
      </c>
      <c r="E266" s="2">
        <v>2654</v>
      </c>
      <c r="F266" s="16" t="inlineStr">
        <is>
          <t xml:space="preserve">+</t>
        </is>
      </c>
      <c r="G266" s="4">
        <v>0.33</v>
      </c>
      <c r="H266" s="2">
        <v>1855</v>
      </c>
      <c r="I266" s="8" t="inlineStr">
        <is>
          <t xml:space="preserve">+</t>
        </is>
      </c>
      <c r="J266" s="4">
        <v>0.35</v>
      </c>
    </row>
    <row r="267">
      <c r="A267" s="5" t="inlineStr">
        <is>
          <t xml:space="preserve">BPTM-55-26S075016</t>
        </is>
      </c>
      <c r="B267" s="6" t="inlineStr">
        <is>
          <t xml:space="preserve">BPTM-55-26S075016</t>
        </is>
      </c>
      <c r="C267" s="6" t="inlineStr">
        <is>
          <t xml:space="preserve">AHL3NVDRX7_1</t>
        </is>
      </c>
      <c r="D267" s="15" t="inlineStr">
        <is>
          <t xml:space="preserve">W266_BRCA2_E11_17</t>
        </is>
      </c>
      <c r="E267" s="2">
        <v>7222</v>
      </c>
      <c r="F267" s="16" t="inlineStr">
        <is>
          <t xml:space="preserve">+</t>
        </is>
      </c>
      <c r="G267" s="4">
        <v>0.898</v>
      </c>
      <c r="H267" s="2">
        <v>4941</v>
      </c>
      <c r="I267" s="8" t="inlineStr">
        <is>
          <t xml:space="preserve">+</t>
        </is>
      </c>
      <c r="J267" s="4">
        <v>0.933</v>
      </c>
    </row>
    <row r="268">
      <c r="A268" s="5" t="inlineStr">
        <is>
          <t xml:space="preserve">BPTM-55-26S075016</t>
        </is>
      </c>
      <c r="B268" s="6" t="inlineStr">
        <is>
          <t xml:space="preserve">BPTM-55-26S075016</t>
        </is>
      </c>
      <c r="C268" s="6" t="inlineStr">
        <is>
          <t xml:space="preserve">AHL3NVDRX7_1</t>
        </is>
      </c>
      <c r="D268" s="15" t="inlineStr">
        <is>
          <t xml:space="preserve">W267_BRCA2_E11_18</t>
        </is>
      </c>
      <c r="E268" s="2">
        <v>4906</v>
      </c>
      <c r="F268" s="16" t="inlineStr">
        <is>
          <t xml:space="preserve">+</t>
        </is>
      </c>
      <c r="G268" s="4">
        <v>0.61</v>
      </c>
      <c r="H268" s="2">
        <v>3511</v>
      </c>
      <c r="I268" s="8" t="inlineStr">
        <is>
          <t xml:space="preserve">+</t>
        </is>
      </c>
      <c r="J268" s="4">
        <v>0.663</v>
      </c>
    </row>
    <row r="269">
      <c r="A269" s="5" t="inlineStr">
        <is>
          <t xml:space="preserve">BPTM-55-26S075016</t>
        </is>
      </c>
      <c r="B269" s="6" t="inlineStr">
        <is>
          <t xml:space="preserve">BPTM-55-26S075016</t>
        </is>
      </c>
      <c r="C269" s="6" t="inlineStr">
        <is>
          <t xml:space="preserve">AHL3NVDRX7_1</t>
        </is>
      </c>
      <c r="D269" s="15" t="inlineStr">
        <is>
          <t xml:space="preserve">W268_BRCA2_E11_19</t>
        </is>
      </c>
      <c r="E269" s="2">
        <v>8537</v>
      </c>
      <c r="F269" s="16" t="inlineStr">
        <is>
          <t xml:space="preserve">+</t>
        </is>
      </c>
      <c r="G269" s="4">
        <v>1.062</v>
      </c>
      <c r="H269" s="2">
        <v>5879</v>
      </c>
      <c r="I269" s="8" t="inlineStr">
        <is>
          <t xml:space="preserve">+</t>
        </is>
      </c>
      <c r="J269" s="4">
        <v>1.11</v>
      </c>
    </row>
    <row r="270">
      <c r="A270" s="5" t="inlineStr">
        <is>
          <t xml:space="preserve">BPTM-55-26S075016</t>
        </is>
      </c>
      <c r="B270" s="6" t="inlineStr">
        <is>
          <t xml:space="preserve">BPTM-55-26S075016</t>
        </is>
      </c>
      <c r="C270" s="6" t="inlineStr">
        <is>
          <t xml:space="preserve">AHL3NVDRX7_1</t>
        </is>
      </c>
      <c r="D270" s="15" t="inlineStr">
        <is>
          <t xml:space="preserve">W269_BRCA2_E11_20</t>
        </is>
      </c>
      <c r="E270" s="2">
        <v>4988</v>
      </c>
      <c r="F270" s="16" t="inlineStr">
        <is>
          <t xml:space="preserve">+</t>
        </is>
      </c>
      <c r="G270" s="4">
        <v>0.62</v>
      </c>
      <c r="H270" s="2">
        <v>3567</v>
      </c>
      <c r="I270" s="8" t="inlineStr">
        <is>
          <t xml:space="preserve">+</t>
        </is>
      </c>
      <c r="J270" s="4">
        <v>0.673</v>
      </c>
    </row>
    <row r="271">
      <c r="A271" s="5" t="inlineStr">
        <is>
          <t xml:space="preserve">BPTM-55-26S075016</t>
        </is>
      </c>
      <c r="B271" s="6" t="inlineStr">
        <is>
          <t xml:space="preserve">BPTM-55-26S075016</t>
        </is>
      </c>
      <c r="C271" s="6" t="inlineStr">
        <is>
          <t xml:space="preserve">AHL3NVDRX7_1</t>
        </is>
      </c>
      <c r="D271" s="15" t="inlineStr">
        <is>
          <t xml:space="preserve">W270_BRCA2_E11_21</t>
        </is>
      </c>
      <c r="E271" s="2">
        <v>2673</v>
      </c>
      <c r="F271" s="16" t="inlineStr">
        <is>
          <t xml:space="preserve">+</t>
        </is>
      </c>
      <c r="G271" s="4">
        <v>0.332</v>
      </c>
      <c r="H271" s="2">
        <v>1944</v>
      </c>
      <c r="I271" s="8" t="inlineStr">
        <is>
          <t xml:space="preserve">+</t>
        </is>
      </c>
      <c r="J271" s="4">
        <v>0.367</v>
      </c>
    </row>
    <row r="272">
      <c r="A272" s="5" t="inlineStr">
        <is>
          <t xml:space="preserve">BPTM-55-26S075016</t>
        </is>
      </c>
      <c r="B272" s="6" t="inlineStr">
        <is>
          <t xml:space="preserve">BPTM-55-26S075016</t>
        </is>
      </c>
      <c r="C272" s="6" t="inlineStr">
        <is>
          <t xml:space="preserve">AHL3NVDRX7_1</t>
        </is>
      </c>
      <c r="D272" s="15" t="inlineStr">
        <is>
          <t xml:space="preserve">W271_BRCA2_E11_22</t>
        </is>
      </c>
      <c r="E272" s="2">
        <v>3234</v>
      </c>
      <c r="F272" s="16" t="inlineStr">
        <is>
          <t xml:space="preserve">+</t>
        </is>
      </c>
      <c r="G272" s="4">
        <v>0.402</v>
      </c>
      <c r="H272" s="2">
        <v>2289</v>
      </c>
      <c r="I272" s="8" t="inlineStr">
        <is>
          <t xml:space="preserve">+</t>
        </is>
      </c>
      <c r="J272" s="4">
        <v>0.432</v>
      </c>
    </row>
    <row r="273">
      <c r="A273" s="5" t="inlineStr">
        <is>
          <t xml:space="preserve">BPTM-55-26S075016</t>
        </is>
      </c>
      <c r="B273" s="6" t="inlineStr">
        <is>
          <t xml:space="preserve">BPTM-55-26S075016</t>
        </is>
      </c>
      <c r="C273" s="6" t="inlineStr">
        <is>
          <t xml:space="preserve">AHL3NVDRX7_1</t>
        </is>
      </c>
      <c r="D273" s="15" t="inlineStr">
        <is>
          <t xml:space="preserve">W272_BRCA2_E11_23</t>
        </is>
      </c>
      <c r="E273" s="2">
        <v>4862</v>
      </c>
      <c r="F273" s="16" t="inlineStr">
        <is>
          <t xml:space="preserve">+</t>
        </is>
      </c>
      <c r="G273" s="4">
        <v>0.605</v>
      </c>
      <c r="H273" s="2">
        <v>3406</v>
      </c>
      <c r="I273" s="8" t="inlineStr">
        <is>
          <t xml:space="preserve">+</t>
        </is>
      </c>
      <c r="J273" s="4">
        <v>0.643</v>
      </c>
    </row>
    <row r="274">
      <c r="A274" s="5" t="inlineStr">
        <is>
          <t xml:space="preserve">BPTM-55-26S075016</t>
        </is>
      </c>
      <c r="B274" s="6" t="inlineStr">
        <is>
          <t xml:space="preserve">BPTM-55-26S075016</t>
        </is>
      </c>
      <c r="C274" s="6" t="inlineStr">
        <is>
          <t xml:space="preserve">AHL3NVDRX7_1</t>
        </is>
      </c>
      <c r="D274" s="15" t="inlineStr">
        <is>
          <t xml:space="preserve">W273_BRCA2_E11_24</t>
        </is>
      </c>
      <c r="E274" s="2">
        <v>3498</v>
      </c>
      <c r="F274" s="16" t="inlineStr">
        <is>
          <t xml:space="preserve">+</t>
        </is>
      </c>
      <c r="G274" s="4">
        <v>0.435</v>
      </c>
      <c r="H274" s="2">
        <v>2505</v>
      </c>
      <c r="I274" s="8" t="inlineStr">
        <is>
          <t xml:space="preserve">+</t>
        </is>
      </c>
      <c r="J274" s="4">
        <v>0.473</v>
      </c>
    </row>
    <row r="275">
      <c r="A275" s="5" t="inlineStr">
        <is>
          <t xml:space="preserve">BPTM-55-26S075016</t>
        </is>
      </c>
      <c r="B275" s="6" t="inlineStr">
        <is>
          <t xml:space="preserve">BPTM-55-26S075016</t>
        </is>
      </c>
      <c r="C275" s="6" t="inlineStr">
        <is>
          <t xml:space="preserve">AHL3NVDRX7_1</t>
        </is>
      </c>
      <c r="D275" s="15" t="inlineStr">
        <is>
          <t xml:space="preserve">W274_BRCA2_E11_25</t>
        </is>
      </c>
      <c r="E275" s="2">
        <v>5004</v>
      </c>
      <c r="F275" s="16" t="inlineStr">
        <is>
          <t xml:space="preserve">+</t>
        </is>
      </c>
      <c r="G275" s="4">
        <v>0.622</v>
      </c>
      <c r="H275" s="2">
        <v>3674</v>
      </c>
      <c r="I275" s="8" t="inlineStr">
        <is>
          <t xml:space="preserve">+</t>
        </is>
      </c>
      <c r="J275" s="4">
        <v>0.694</v>
      </c>
    </row>
    <row r="276">
      <c r="A276" s="5" t="inlineStr">
        <is>
          <t xml:space="preserve">BPTM-55-26S075016</t>
        </is>
      </c>
      <c r="B276" s="6" t="inlineStr">
        <is>
          <t xml:space="preserve">BPTM-55-26S075016</t>
        </is>
      </c>
      <c r="C276" s="6" t="inlineStr">
        <is>
          <t xml:space="preserve">AHL3NVDRX7_1</t>
        </is>
      </c>
      <c r="D276" s="15" t="inlineStr">
        <is>
          <t xml:space="preserve">W275_BRCA2_E11_26</t>
        </is>
      </c>
      <c r="E276" s="2">
        <v>5525</v>
      </c>
      <c r="F276" s="16" t="inlineStr">
        <is>
          <t xml:space="preserve">+</t>
        </is>
      </c>
      <c r="G276" s="4">
        <v>0.687</v>
      </c>
      <c r="H276" s="2">
        <v>3795</v>
      </c>
      <c r="I276" s="8" t="inlineStr">
        <is>
          <t xml:space="preserve">+</t>
        </is>
      </c>
      <c r="J276" s="4">
        <v>0.716</v>
      </c>
    </row>
    <row r="277">
      <c r="A277" s="5" t="inlineStr">
        <is>
          <t xml:space="preserve">BPTM-55-26S075016</t>
        </is>
      </c>
      <c r="B277" s="6" t="inlineStr">
        <is>
          <t xml:space="preserve">BPTM-55-26S075016</t>
        </is>
      </c>
      <c r="C277" s="6" t="inlineStr">
        <is>
          <t xml:space="preserve">AHL3NVDRX7_1</t>
        </is>
      </c>
      <c r="D277" s="15" t="inlineStr">
        <is>
          <t xml:space="preserve">W276_BRCA2_E11_27</t>
        </is>
      </c>
      <c r="E277" s="2">
        <v>6733</v>
      </c>
      <c r="F277" s="16" t="inlineStr">
        <is>
          <t xml:space="preserve">+</t>
        </is>
      </c>
      <c r="G277" s="4">
        <v>0.837</v>
      </c>
      <c r="H277" s="2">
        <v>4743</v>
      </c>
      <c r="I277" s="8" t="inlineStr">
        <is>
          <t xml:space="preserve">+</t>
        </is>
      </c>
      <c r="J277" s="4">
        <v>0.895</v>
      </c>
    </row>
    <row r="278">
      <c r="A278" s="5" t="inlineStr">
        <is>
          <t xml:space="preserve">BPTM-55-26S075016</t>
        </is>
      </c>
      <c r="B278" s="6" t="inlineStr">
        <is>
          <t xml:space="preserve">BPTM-55-26S075016</t>
        </is>
      </c>
      <c r="C278" s="6" t="inlineStr">
        <is>
          <t xml:space="preserve">AHL3NVDRX7_1</t>
        </is>
      </c>
      <c r="D278" s="15" t="inlineStr">
        <is>
          <t xml:space="preserve">W277_BRCA2_E11_28</t>
        </is>
      </c>
      <c r="E278" s="2">
        <v>1841</v>
      </c>
      <c r="F278" s="16" t="inlineStr">
        <is>
          <t xml:space="preserve">+</t>
        </is>
      </c>
      <c r="G278" s="4">
        <v>0.229</v>
      </c>
      <c r="H278" s="2">
        <v>1372</v>
      </c>
      <c r="I278" s="8" t="inlineStr">
        <is>
          <t xml:space="preserve">+</t>
        </is>
      </c>
      <c r="J278" s="4">
        <v>0.259</v>
      </c>
    </row>
    <row r="279">
      <c r="A279" s="5" t="inlineStr">
        <is>
          <t xml:space="preserve">BPTM-55-26S075016</t>
        </is>
      </c>
      <c r="B279" s="6" t="inlineStr">
        <is>
          <t xml:space="preserve">BPTM-55-26S075016</t>
        </is>
      </c>
      <c r="C279" s="6" t="inlineStr">
        <is>
          <t xml:space="preserve">AHL3NVDRX7_1</t>
        </is>
      </c>
      <c r="D279" s="15" t="inlineStr">
        <is>
          <t xml:space="preserve">W278_BRCA2_E11_29</t>
        </is>
      </c>
      <c r="E279" s="2">
        <v>3609</v>
      </c>
      <c r="F279" s="16" t="inlineStr">
        <is>
          <t xml:space="preserve">+</t>
        </is>
      </c>
      <c r="G279" s="4">
        <v>0.449</v>
      </c>
      <c r="H279" s="2">
        <v>2472</v>
      </c>
      <c r="I279" s="8" t="inlineStr">
        <is>
          <t xml:space="preserve">+</t>
        </is>
      </c>
      <c r="J279" s="4">
        <v>0.467</v>
      </c>
    </row>
    <row r="280">
      <c r="A280" s="5" t="inlineStr">
        <is>
          <t xml:space="preserve">BPTM-55-26S075016</t>
        </is>
      </c>
      <c r="B280" s="6" t="inlineStr">
        <is>
          <t xml:space="preserve">BPTM-55-26S075016</t>
        </is>
      </c>
      <c r="C280" s="6" t="inlineStr">
        <is>
          <t xml:space="preserve">AHL3NVDRX7_1</t>
        </is>
      </c>
      <c r="D280" s="15" t="inlineStr">
        <is>
          <t xml:space="preserve">W279_BRCA2_E11_30</t>
        </is>
      </c>
      <c r="E280" s="2">
        <v>4879</v>
      </c>
      <c r="F280" s="16" t="inlineStr">
        <is>
          <t xml:space="preserve">+</t>
        </is>
      </c>
      <c r="G280" s="4">
        <v>0.607</v>
      </c>
      <c r="H280" s="2">
        <v>3400</v>
      </c>
      <c r="I280" s="8" t="inlineStr">
        <is>
          <t xml:space="preserve">+</t>
        </is>
      </c>
      <c r="J280" s="4">
        <v>0.642</v>
      </c>
    </row>
    <row r="281">
      <c r="A281" s="5" t="inlineStr">
        <is>
          <t xml:space="preserve">BPTM-55-26S075016</t>
        </is>
      </c>
      <c r="B281" s="6" t="inlineStr">
        <is>
          <t xml:space="preserve">BPTM-55-26S075016</t>
        </is>
      </c>
      <c r="C281" s="6" t="inlineStr">
        <is>
          <t xml:space="preserve">AHL3NVDRX7_1</t>
        </is>
      </c>
      <c r="D281" s="15" t="inlineStr">
        <is>
          <t xml:space="preserve">W280_BRCA2_E11_31</t>
        </is>
      </c>
      <c r="E281" s="2">
        <v>3367</v>
      </c>
      <c r="F281" s="16" t="inlineStr">
        <is>
          <t xml:space="preserve">+</t>
        </is>
      </c>
      <c r="G281" s="4">
        <v>0.419</v>
      </c>
      <c r="H281" s="2">
        <v>2411</v>
      </c>
      <c r="I281" s="8" t="inlineStr">
        <is>
          <t xml:space="preserve">+</t>
        </is>
      </c>
      <c r="J281" s="4">
        <v>0.455</v>
      </c>
    </row>
    <row r="282">
      <c r="A282" s="5" t="inlineStr">
        <is>
          <t xml:space="preserve">BPTM-55-26S075016</t>
        </is>
      </c>
      <c r="B282" s="6" t="inlineStr">
        <is>
          <t xml:space="preserve">BPTM-55-26S075016</t>
        </is>
      </c>
      <c r="C282" s="6" t="inlineStr">
        <is>
          <t xml:space="preserve">AHL3NVDRX7_1</t>
        </is>
      </c>
      <c r="D282" s="15" t="inlineStr">
        <is>
          <t xml:space="preserve">W281_BRCA2_E11_32</t>
        </is>
      </c>
      <c r="E282" s="2">
        <v>4276</v>
      </c>
      <c r="F282" s="16" t="inlineStr">
        <is>
          <t xml:space="preserve">+</t>
        </is>
      </c>
      <c r="G282" s="4">
        <v>0.532</v>
      </c>
      <c r="H282" s="2">
        <v>3065</v>
      </c>
      <c r="I282" s="8" t="inlineStr">
        <is>
          <t xml:space="preserve">+</t>
        </is>
      </c>
      <c r="J282" s="4">
        <v>0.579</v>
      </c>
    </row>
    <row r="283">
      <c r="A283" s="5" t="inlineStr">
        <is>
          <t xml:space="preserve">BPTM-55-26S075016</t>
        </is>
      </c>
      <c r="B283" s="6" t="inlineStr">
        <is>
          <t xml:space="preserve">BPTM-55-26S075016</t>
        </is>
      </c>
      <c r="C283" s="6" t="inlineStr">
        <is>
          <t xml:space="preserve">AHL3NVDRX7_1</t>
        </is>
      </c>
      <c r="D283" s="15" t="inlineStr">
        <is>
          <t xml:space="preserve">W282_BRCA2_E11_33</t>
        </is>
      </c>
      <c r="E283" s="2">
        <v>5373</v>
      </c>
      <c r="F283" s="16" t="inlineStr">
        <is>
          <t xml:space="preserve">+</t>
        </is>
      </c>
      <c r="G283" s="4">
        <v>0.668</v>
      </c>
      <c r="H283" s="2">
        <v>3827</v>
      </c>
      <c r="I283" s="8" t="inlineStr">
        <is>
          <t xml:space="preserve">+</t>
        </is>
      </c>
      <c r="J283" s="4">
        <v>0.722</v>
      </c>
    </row>
    <row r="284">
      <c r="A284" s="5" t="inlineStr">
        <is>
          <t xml:space="preserve">BPTM-55-26S075016</t>
        </is>
      </c>
      <c r="B284" s="6" t="inlineStr">
        <is>
          <t xml:space="preserve">BPTM-55-26S075016</t>
        </is>
      </c>
      <c r="C284" s="6" t="inlineStr">
        <is>
          <t xml:space="preserve">AHL3NVDRX7_1</t>
        </is>
      </c>
      <c r="D284" s="15" t="inlineStr">
        <is>
          <t xml:space="preserve">W283_BRCA2_E11_34</t>
        </is>
      </c>
      <c r="E284" s="2">
        <v>4462</v>
      </c>
      <c r="F284" s="16" t="inlineStr">
        <is>
          <t xml:space="preserve">+</t>
        </is>
      </c>
      <c r="G284" s="4">
        <v>0.555</v>
      </c>
      <c r="H284" s="2">
        <v>3158</v>
      </c>
      <c r="I284" s="8" t="inlineStr">
        <is>
          <t xml:space="preserve">+</t>
        </is>
      </c>
      <c r="J284" s="4">
        <v>0.596</v>
      </c>
    </row>
    <row r="285">
      <c r="A285" s="5" t="inlineStr">
        <is>
          <t xml:space="preserve">BPTM-55-26S075016</t>
        </is>
      </c>
      <c r="B285" s="6" t="inlineStr">
        <is>
          <t xml:space="preserve">BPTM-55-26S075016</t>
        </is>
      </c>
      <c r="C285" s="6" t="inlineStr">
        <is>
          <t xml:space="preserve">AHL3NVDRX7_1</t>
        </is>
      </c>
      <c r="D285" s="15" t="inlineStr">
        <is>
          <t xml:space="preserve">W284_BRCA2_E11_35</t>
        </is>
      </c>
      <c r="E285" s="2">
        <v>2937</v>
      </c>
      <c r="F285" s="16" t="inlineStr">
        <is>
          <t xml:space="preserve">+</t>
        </is>
      </c>
      <c r="G285" s="4">
        <v>0.365</v>
      </c>
      <c r="H285" s="2">
        <v>2126</v>
      </c>
      <c r="I285" s="8" t="inlineStr">
        <is>
          <t xml:space="preserve">+</t>
        </is>
      </c>
      <c r="J285" s="4">
        <v>0.401</v>
      </c>
    </row>
    <row r="286">
      <c r="A286" s="5" t="inlineStr">
        <is>
          <t xml:space="preserve">BPTM-55-26S075016</t>
        </is>
      </c>
      <c r="B286" s="6" t="inlineStr">
        <is>
          <t xml:space="preserve">BPTM-55-26S075016</t>
        </is>
      </c>
      <c r="C286" s="6" t="inlineStr">
        <is>
          <t xml:space="preserve">AHL3NVDRX7_1</t>
        </is>
      </c>
      <c r="D286" s="15" t="inlineStr">
        <is>
          <t xml:space="preserve">W285_BRCA2_E11_36</t>
        </is>
      </c>
      <c r="E286" s="2">
        <v>3293</v>
      </c>
      <c r="F286" s="16" t="inlineStr">
        <is>
          <t xml:space="preserve">+</t>
        </is>
      </c>
      <c r="G286" s="4">
        <v>0.409</v>
      </c>
      <c r="H286" s="2">
        <v>2301</v>
      </c>
      <c r="I286" s="8" t="inlineStr">
        <is>
          <t xml:space="preserve">+</t>
        </is>
      </c>
      <c r="J286" s="4">
        <v>0.434</v>
      </c>
    </row>
    <row r="287">
      <c r="A287" s="5" t="inlineStr">
        <is>
          <t xml:space="preserve">BPTM-55-26S075016</t>
        </is>
      </c>
      <c r="B287" s="6" t="inlineStr">
        <is>
          <t xml:space="preserve">BPTM-55-26S075016</t>
        </is>
      </c>
      <c r="C287" s="6" t="inlineStr">
        <is>
          <t xml:space="preserve">AHL3NVDRX7_1</t>
        </is>
      </c>
      <c r="D287" s="15" t="inlineStr">
        <is>
          <t xml:space="preserve">W286_BRCA2_E11_37</t>
        </is>
      </c>
      <c r="E287" s="2">
        <v>3942</v>
      </c>
      <c r="F287" s="16" t="inlineStr">
        <is>
          <t xml:space="preserve">+</t>
        </is>
      </c>
      <c r="G287" s="4">
        <v>0.49</v>
      </c>
      <c r="H287" s="2">
        <v>2893</v>
      </c>
      <c r="I287" s="8" t="inlineStr">
        <is>
          <t xml:space="preserve">+</t>
        </is>
      </c>
      <c r="J287" s="4">
        <v>0.546</v>
      </c>
    </row>
    <row r="288">
      <c r="A288" s="5" t="inlineStr">
        <is>
          <t xml:space="preserve">BPTM-55-26S075016</t>
        </is>
      </c>
      <c r="B288" s="6" t="inlineStr">
        <is>
          <t xml:space="preserve">BPTM-55-26S075016</t>
        </is>
      </c>
      <c r="C288" s="6" t="inlineStr">
        <is>
          <t xml:space="preserve">AHL3NVDRX7_1</t>
        </is>
      </c>
      <c r="D288" s="15" t="inlineStr">
        <is>
          <t xml:space="preserve">W287_BRCA2_E11_38</t>
        </is>
      </c>
      <c r="E288" s="2">
        <v>7537</v>
      </c>
      <c r="F288" s="16" t="inlineStr">
        <is>
          <t xml:space="preserve">+</t>
        </is>
      </c>
      <c r="G288" s="4">
        <v>0.937</v>
      </c>
      <c r="H288" s="2">
        <v>5378</v>
      </c>
      <c r="I288" s="8" t="inlineStr">
        <is>
          <t xml:space="preserve">+</t>
        </is>
      </c>
      <c r="J288" s="4">
        <v>1.015</v>
      </c>
    </row>
    <row r="289">
      <c r="A289" s="5" t="inlineStr">
        <is>
          <t xml:space="preserve">BPTM-55-26S075016</t>
        </is>
      </c>
      <c r="B289" s="6" t="inlineStr">
        <is>
          <t xml:space="preserve">BPTM-55-26S075016</t>
        </is>
      </c>
      <c r="C289" s="6" t="inlineStr">
        <is>
          <t xml:space="preserve">AHL3NVDRX7_1</t>
        </is>
      </c>
      <c r="D289" s="15" t="inlineStr">
        <is>
          <t xml:space="preserve">W288_BRCA2_E11_39</t>
        </is>
      </c>
      <c r="E289" s="2">
        <v>3328</v>
      </c>
      <c r="F289" s="16" t="inlineStr">
        <is>
          <t xml:space="preserve">+</t>
        </is>
      </c>
      <c r="G289" s="4">
        <v>0.414</v>
      </c>
      <c r="H289" s="2">
        <v>2394</v>
      </c>
      <c r="I289" s="8" t="inlineStr">
        <is>
          <t xml:space="preserve">+</t>
        </is>
      </c>
      <c r="J289" s="4">
        <v>0.452</v>
      </c>
    </row>
    <row r="290">
      <c r="A290" s="5" t="inlineStr">
        <is>
          <t xml:space="preserve">BPTM-55-26S075016</t>
        </is>
      </c>
      <c r="B290" s="6" t="inlineStr">
        <is>
          <t xml:space="preserve">BPTM-55-26S075016</t>
        </is>
      </c>
      <c r="C290" s="6" t="inlineStr">
        <is>
          <t xml:space="preserve">AHL3NVDRX7_1</t>
        </is>
      </c>
      <c r="D290" s="15" t="inlineStr">
        <is>
          <t xml:space="preserve">W289_BRCA2_E11_40</t>
        </is>
      </c>
      <c r="E290" s="2">
        <v>5313</v>
      </c>
      <c r="F290" s="16" t="inlineStr">
        <is>
          <t xml:space="preserve">+</t>
        </is>
      </c>
      <c r="G290" s="4">
        <v>0.661</v>
      </c>
      <c r="H290" s="2">
        <v>3737</v>
      </c>
      <c r="I290" s="8" t="inlineStr">
        <is>
          <t xml:space="preserve">+</t>
        </is>
      </c>
      <c r="J290" s="4">
        <v>0.705</v>
      </c>
    </row>
    <row r="291">
      <c r="A291" s="5" t="inlineStr">
        <is>
          <t xml:space="preserve">BPTM-55-26S075016</t>
        </is>
      </c>
      <c r="B291" s="6" t="inlineStr">
        <is>
          <t xml:space="preserve">BPTM-55-26S075016</t>
        </is>
      </c>
      <c r="C291" s="6" t="inlineStr">
        <is>
          <t xml:space="preserve">AHL3NVDRX7_1</t>
        </is>
      </c>
      <c r="D291" s="15" t="inlineStr">
        <is>
          <t xml:space="preserve">W290_BRCA2_E11_41</t>
        </is>
      </c>
      <c r="E291" s="2">
        <v>4401</v>
      </c>
      <c r="F291" s="16" t="inlineStr">
        <is>
          <t xml:space="preserve">+</t>
        </is>
      </c>
      <c r="G291" s="4">
        <v>0.547</v>
      </c>
      <c r="H291" s="2">
        <v>3074</v>
      </c>
      <c r="I291" s="8" t="inlineStr">
        <is>
          <t xml:space="preserve">+</t>
        </is>
      </c>
      <c r="J291" s="4">
        <v>0.58</v>
      </c>
    </row>
    <row r="292">
      <c r="A292" s="5" t="inlineStr">
        <is>
          <t xml:space="preserve">BPTM-55-26S075016</t>
        </is>
      </c>
      <c r="B292" s="6" t="inlineStr">
        <is>
          <t xml:space="preserve">BPTM-55-26S075016</t>
        </is>
      </c>
      <c r="C292" s="6" t="inlineStr">
        <is>
          <t xml:space="preserve">AHL3NVDRX7_1</t>
        </is>
      </c>
      <c r="D292" s="15" t="inlineStr">
        <is>
          <t xml:space="preserve">W291_BRCA2_E11_42</t>
        </is>
      </c>
      <c r="E292" s="2">
        <v>8323</v>
      </c>
      <c r="F292" s="16" t="inlineStr">
        <is>
          <t xml:space="preserve">+</t>
        </is>
      </c>
      <c r="G292" s="4">
        <v>1.035</v>
      </c>
      <c r="H292" s="2">
        <v>5723</v>
      </c>
      <c r="I292" s="8" t="inlineStr">
        <is>
          <t xml:space="preserve">+</t>
        </is>
      </c>
      <c r="J292" s="4">
        <v>1.08</v>
      </c>
    </row>
    <row r="293">
      <c r="A293" s="5" t="inlineStr">
        <is>
          <t xml:space="preserve">BPTM-55-26S075016</t>
        </is>
      </c>
      <c r="B293" s="6" t="inlineStr">
        <is>
          <t xml:space="preserve">BPTM-55-26S075016</t>
        </is>
      </c>
      <c r="C293" s="6" t="inlineStr">
        <is>
          <t xml:space="preserve">AHL3NVDRX7_1</t>
        </is>
      </c>
      <c r="D293" s="15" t="inlineStr">
        <is>
          <t xml:space="preserve">W292_BRCA2_E11_43</t>
        </is>
      </c>
      <c r="E293" s="2">
        <v>6200</v>
      </c>
      <c r="F293" s="16" t="inlineStr">
        <is>
          <t xml:space="preserve">+</t>
        </is>
      </c>
      <c r="G293" s="4">
        <v>0.771</v>
      </c>
      <c r="H293" s="2">
        <v>4411</v>
      </c>
      <c r="I293" s="8" t="inlineStr">
        <is>
          <t xml:space="preserve">+</t>
        </is>
      </c>
      <c r="J293" s="4">
        <v>0.833</v>
      </c>
    </row>
    <row r="294">
      <c r="A294" s="5" t="inlineStr">
        <is>
          <t xml:space="preserve">BPTM-55-26S075016</t>
        </is>
      </c>
      <c r="B294" s="6" t="inlineStr">
        <is>
          <t xml:space="preserve">BPTM-55-26S075016</t>
        </is>
      </c>
      <c r="C294" s="6" t="inlineStr">
        <is>
          <t xml:space="preserve">AHL3NVDRX7_1</t>
        </is>
      </c>
      <c r="D294" s="15" t="inlineStr">
        <is>
          <t xml:space="preserve">W293_BRCA2_E11_44</t>
        </is>
      </c>
      <c r="E294" s="2">
        <v>5476</v>
      </c>
      <c r="F294" s="16" t="inlineStr">
        <is>
          <t xml:space="preserve">+</t>
        </is>
      </c>
      <c r="G294" s="4">
        <v>0.681</v>
      </c>
      <c r="H294" s="2">
        <v>3853</v>
      </c>
      <c r="I294" s="8" t="inlineStr">
        <is>
          <t xml:space="preserve">+</t>
        </is>
      </c>
      <c r="J294" s="4">
        <v>0.727</v>
      </c>
    </row>
    <row r="295">
      <c r="A295" s="5" t="inlineStr">
        <is>
          <t xml:space="preserve">BPTM-55-26S075016</t>
        </is>
      </c>
      <c r="B295" s="6" t="inlineStr">
        <is>
          <t xml:space="preserve">BPTM-55-26S075016</t>
        </is>
      </c>
      <c r="C295" s="6" t="inlineStr">
        <is>
          <t xml:space="preserve">AHL3NVDRX7_1</t>
        </is>
      </c>
      <c r="D295" s="15" t="inlineStr">
        <is>
          <t xml:space="preserve">W294_BRCA2_E11_45</t>
        </is>
      </c>
      <c r="E295" s="2">
        <v>4476</v>
      </c>
      <c r="F295" s="16" t="inlineStr">
        <is>
          <t xml:space="preserve">+</t>
        </is>
      </c>
      <c r="G295" s="4">
        <v>0.557</v>
      </c>
      <c r="H295" s="2">
        <v>3220</v>
      </c>
      <c r="I295" s="8" t="inlineStr">
        <is>
          <t xml:space="preserve">+</t>
        </is>
      </c>
      <c r="J295" s="4">
        <v>0.608</v>
      </c>
    </row>
    <row r="296">
      <c r="A296" s="5" t="inlineStr">
        <is>
          <t xml:space="preserve">BPTM-55-26S075016</t>
        </is>
      </c>
      <c r="B296" s="6" t="inlineStr">
        <is>
          <t xml:space="preserve">BPTM-55-26S075016</t>
        </is>
      </c>
      <c r="C296" s="6" t="inlineStr">
        <is>
          <t xml:space="preserve">AHL3NVDRX7_1</t>
        </is>
      </c>
      <c r="D296" s="15" t="inlineStr">
        <is>
          <t xml:space="preserve">W295_BRCA2_E11_46</t>
        </is>
      </c>
      <c r="E296" s="2">
        <v>5446</v>
      </c>
      <c r="F296" s="16" t="inlineStr">
        <is>
          <t xml:space="preserve">+</t>
        </is>
      </c>
      <c r="G296" s="4">
        <v>0.677</v>
      </c>
      <c r="H296" s="2">
        <v>3915</v>
      </c>
      <c r="I296" s="8" t="inlineStr">
        <is>
          <t xml:space="preserve">+</t>
        </is>
      </c>
      <c r="J296" s="4">
        <v>0.739</v>
      </c>
    </row>
    <row r="297">
      <c r="A297" s="5" t="inlineStr">
        <is>
          <t xml:space="preserve">BPTM-55-26S075016</t>
        </is>
      </c>
      <c r="B297" s="6" t="inlineStr">
        <is>
          <t xml:space="preserve">BPTM-55-26S075016</t>
        </is>
      </c>
      <c r="C297" s="6" t="inlineStr">
        <is>
          <t xml:space="preserve">AHL3NVDRX7_1</t>
        </is>
      </c>
      <c r="D297" s="15" t="inlineStr">
        <is>
          <t xml:space="preserve">W296_BRCA2_E11_47</t>
        </is>
      </c>
      <c r="E297" s="2">
        <v>3624</v>
      </c>
      <c r="F297" s="16" t="inlineStr">
        <is>
          <t xml:space="preserve">+</t>
        </is>
      </c>
      <c r="G297" s="4">
        <v>0.451</v>
      </c>
      <c r="H297" s="2">
        <v>2560</v>
      </c>
      <c r="I297" s="8" t="inlineStr">
        <is>
          <t xml:space="preserve">+</t>
        </is>
      </c>
      <c r="J297" s="4">
        <v>0.483</v>
      </c>
    </row>
    <row r="298">
      <c r="A298" s="5" t="inlineStr">
        <is>
          <t xml:space="preserve">BPTM-55-26S075016</t>
        </is>
      </c>
      <c r="B298" s="6" t="inlineStr">
        <is>
          <t xml:space="preserve">BPTM-55-26S075016</t>
        </is>
      </c>
      <c r="C298" s="6" t="inlineStr">
        <is>
          <t xml:space="preserve">AHL3NVDRX7_1</t>
        </is>
      </c>
      <c r="D298" s="15" t="inlineStr">
        <is>
          <t xml:space="preserve">W297_BRCA2_E11_48</t>
        </is>
      </c>
      <c r="E298" s="2">
        <v>6079</v>
      </c>
      <c r="F298" s="16" t="inlineStr">
        <is>
          <t xml:space="preserve">+</t>
        </is>
      </c>
      <c r="G298" s="4">
        <v>0.756</v>
      </c>
      <c r="H298" s="2">
        <v>4334</v>
      </c>
      <c r="I298" s="8" t="inlineStr">
        <is>
          <t xml:space="preserve">+</t>
        </is>
      </c>
      <c r="J298" s="4">
        <v>0.818</v>
      </c>
    </row>
    <row r="299">
      <c r="A299" s="5" t="inlineStr">
        <is>
          <t xml:space="preserve">BPTM-55-26S075016</t>
        </is>
      </c>
      <c r="B299" s="6" t="inlineStr">
        <is>
          <t xml:space="preserve">BPTM-55-26S075016</t>
        </is>
      </c>
      <c r="C299" s="6" t="inlineStr">
        <is>
          <t xml:space="preserve">AHL3NVDRX7_1</t>
        </is>
      </c>
      <c r="D299" s="15" t="inlineStr">
        <is>
          <t xml:space="preserve">W298_BRCA2_E11_49</t>
        </is>
      </c>
      <c r="E299" s="2">
        <v>3694</v>
      </c>
      <c r="F299" s="16" t="inlineStr">
        <is>
          <t xml:space="preserve">+</t>
        </is>
      </c>
      <c r="G299" s="4">
        <v>0.459</v>
      </c>
      <c r="H299" s="2">
        <v>2593</v>
      </c>
      <c r="I299" s="8" t="inlineStr">
        <is>
          <t xml:space="preserve">+</t>
        </is>
      </c>
      <c r="J299" s="4">
        <v>0.489</v>
      </c>
    </row>
    <row r="300">
      <c r="A300" s="5" t="inlineStr">
        <is>
          <t xml:space="preserve">BPTM-55-26S075016</t>
        </is>
      </c>
      <c r="B300" s="6" t="inlineStr">
        <is>
          <t xml:space="preserve">BPTM-55-26S075016</t>
        </is>
      </c>
      <c r="C300" s="6" t="inlineStr">
        <is>
          <t xml:space="preserve">AHL3NVDRX7_1</t>
        </is>
      </c>
      <c r="D300" s="15" t="inlineStr">
        <is>
          <t xml:space="preserve">W299_BRCA2_E11_50</t>
        </is>
      </c>
      <c r="E300" s="2">
        <v>5886</v>
      </c>
      <c r="F300" s="16" t="inlineStr">
        <is>
          <t xml:space="preserve">+</t>
        </is>
      </c>
      <c r="G300" s="4">
        <v>0.732</v>
      </c>
      <c r="H300" s="2">
        <v>4147</v>
      </c>
      <c r="I300" s="8" t="inlineStr">
        <is>
          <t xml:space="preserve">+</t>
        </is>
      </c>
      <c r="J300" s="4">
        <v>0.783</v>
      </c>
    </row>
    <row r="301">
      <c r="A301" s="5" t="inlineStr">
        <is>
          <t xml:space="preserve">BPTM-55-26S075016</t>
        </is>
      </c>
      <c r="B301" s="6" t="inlineStr">
        <is>
          <t xml:space="preserve">BPTM-55-26S075016</t>
        </is>
      </c>
      <c r="C301" s="6" t="inlineStr">
        <is>
          <t xml:space="preserve">AHL3NVDRX7_1</t>
        </is>
      </c>
      <c r="D301" s="15" t="inlineStr">
        <is>
          <t xml:space="preserve">W300_BRCA2_E12_01</t>
        </is>
      </c>
      <c r="E301" s="2">
        <v>5691</v>
      </c>
      <c r="F301" s="16" t="inlineStr">
        <is>
          <t xml:space="preserve">+</t>
        </is>
      </c>
      <c r="G301" s="4">
        <v>0.708</v>
      </c>
      <c r="H301" s="2">
        <v>4174</v>
      </c>
      <c r="I301" s="8" t="inlineStr">
        <is>
          <t xml:space="preserve">+</t>
        </is>
      </c>
      <c r="J301" s="4">
        <v>0.788</v>
      </c>
    </row>
    <row r="302">
      <c r="A302" s="5" t="inlineStr">
        <is>
          <t xml:space="preserve">BPTM-55-26S075016</t>
        </is>
      </c>
      <c r="B302" s="6" t="inlineStr">
        <is>
          <t xml:space="preserve">BPTM-55-26S075016</t>
        </is>
      </c>
      <c r="C302" s="6" t="inlineStr">
        <is>
          <t xml:space="preserve">AHL3NVDRX7_1</t>
        </is>
      </c>
      <c r="D302" s="15" t="inlineStr">
        <is>
          <t xml:space="preserve">W301_BRCA2_E12_02</t>
        </is>
      </c>
      <c r="E302" s="2">
        <v>4719</v>
      </c>
      <c r="F302" s="16" t="inlineStr">
        <is>
          <t xml:space="preserve">+</t>
        </is>
      </c>
      <c r="G302" s="4">
        <v>0.587</v>
      </c>
      <c r="H302" s="2">
        <v>3458</v>
      </c>
      <c r="I302" s="8" t="inlineStr">
        <is>
          <t xml:space="preserve">+</t>
        </is>
      </c>
      <c r="J302" s="4">
        <v>0.653</v>
      </c>
    </row>
    <row r="303">
      <c r="A303" s="5" t="inlineStr">
        <is>
          <t xml:space="preserve">BPTM-55-26S075016</t>
        </is>
      </c>
      <c r="B303" s="6" t="inlineStr">
        <is>
          <t xml:space="preserve">BPTM-55-26S075016</t>
        </is>
      </c>
      <c r="C303" s="6" t="inlineStr">
        <is>
          <t xml:space="preserve">AHL3NVDRX7_1</t>
        </is>
      </c>
      <c r="D303" s="15" t="inlineStr">
        <is>
          <t xml:space="preserve">W302_BRCA2_E13_01</t>
        </is>
      </c>
      <c r="E303" s="2">
        <v>6386</v>
      </c>
      <c r="F303" s="16" t="inlineStr">
        <is>
          <t xml:space="preserve">+</t>
        </is>
      </c>
      <c r="G303" s="4">
        <v>0.794</v>
      </c>
      <c r="H303" s="2">
        <v>4489</v>
      </c>
      <c r="I303" s="8" t="inlineStr">
        <is>
          <t xml:space="preserve">+</t>
        </is>
      </c>
      <c r="J303" s="4">
        <v>0.847</v>
      </c>
    </row>
    <row r="304">
      <c r="A304" s="5" t="inlineStr">
        <is>
          <t xml:space="preserve">BPTM-55-26S075016</t>
        </is>
      </c>
      <c r="B304" s="6" t="inlineStr">
        <is>
          <t xml:space="preserve">BPTM-55-26S075016</t>
        </is>
      </c>
      <c r="C304" s="6" t="inlineStr">
        <is>
          <t xml:space="preserve">AHL3NVDRX7_1</t>
        </is>
      </c>
      <c r="D304" s="15" t="inlineStr">
        <is>
          <t xml:space="preserve">W303_BRCA2_E13_02</t>
        </is>
      </c>
      <c r="E304" s="2">
        <v>12204</v>
      </c>
      <c r="F304" s="16" t="inlineStr">
        <is>
          <t xml:space="preserve">+</t>
        </is>
      </c>
      <c r="G304" s="4">
        <v>1.518</v>
      </c>
      <c r="H304" s="2">
        <v>8056</v>
      </c>
      <c r="I304" s="8" t="inlineStr">
        <is>
          <t xml:space="preserve">+</t>
        </is>
      </c>
      <c r="J304" s="4">
        <v>1.521</v>
      </c>
    </row>
    <row r="305">
      <c r="A305" s="5" t="inlineStr">
        <is>
          <t xml:space="preserve">BPTM-55-26S075016</t>
        </is>
      </c>
      <c r="B305" s="6" t="inlineStr">
        <is>
          <t xml:space="preserve">BPTM-55-26S075016</t>
        </is>
      </c>
      <c r="C305" s="6" t="inlineStr">
        <is>
          <t xml:space="preserve">AHL3NVDRX7_1</t>
        </is>
      </c>
      <c r="D305" s="15" t="inlineStr">
        <is>
          <t xml:space="preserve">W304_BRCA2_E14_01</t>
        </is>
      </c>
      <c r="E305" s="2">
        <v>7060</v>
      </c>
      <c r="F305" s="16" t="inlineStr">
        <is>
          <t xml:space="preserve">+</t>
        </is>
      </c>
      <c r="G305" s="4">
        <v>0.878</v>
      </c>
      <c r="H305" s="2">
        <v>4943</v>
      </c>
      <c r="I305" s="8" t="inlineStr">
        <is>
          <t xml:space="preserve">+</t>
        </is>
      </c>
      <c r="J305" s="4">
        <v>0.933</v>
      </c>
    </row>
    <row r="306">
      <c r="A306" s="5" t="inlineStr">
        <is>
          <t xml:space="preserve">BPTM-55-26S075016</t>
        </is>
      </c>
      <c r="B306" s="6" t="inlineStr">
        <is>
          <t xml:space="preserve">BPTM-55-26S075016</t>
        </is>
      </c>
      <c r="C306" s="6" t="inlineStr">
        <is>
          <t xml:space="preserve">AHL3NVDRX7_1</t>
        </is>
      </c>
      <c r="D306" s="15" t="inlineStr">
        <is>
          <t xml:space="preserve">W305_BRCA2_E14_02</t>
        </is>
      </c>
      <c r="E306" s="2">
        <v>5584</v>
      </c>
      <c r="F306" s="16" t="inlineStr">
        <is>
          <t xml:space="preserve">+</t>
        </is>
      </c>
      <c r="G306" s="4">
        <v>0.694</v>
      </c>
      <c r="H306" s="2">
        <v>3965</v>
      </c>
      <c r="I306" s="8" t="inlineStr">
        <is>
          <t xml:space="preserve">+</t>
        </is>
      </c>
      <c r="J306" s="4">
        <v>0.748</v>
      </c>
    </row>
    <row r="307">
      <c r="A307" s="5" t="inlineStr">
        <is>
          <t xml:space="preserve">BPTM-55-26S075016</t>
        </is>
      </c>
      <c r="B307" s="6" t="inlineStr">
        <is>
          <t xml:space="preserve">BPTM-55-26S075016</t>
        </is>
      </c>
      <c r="C307" s="6" t="inlineStr">
        <is>
          <t xml:space="preserve">AHL3NVDRX7_1</t>
        </is>
      </c>
      <c r="D307" s="15" t="inlineStr">
        <is>
          <t xml:space="preserve">W306_BRCA2_E14_03</t>
        </is>
      </c>
      <c r="E307" s="2">
        <v>8265</v>
      </c>
      <c r="F307" s="16" t="inlineStr">
        <is>
          <t xml:space="preserve">+</t>
        </is>
      </c>
      <c r="G307" s="4">
        <v>1.028</v>
      </c>
      <c r="H307" s="2">
        <v>5584</v>
      </c>
      <c r="I307" s="8" t="inlineStr">
        <is>
          <t xml:space="preserve">+</t>
        </is>
      </c>
      <c r="J307" s="4">
        <v>1.054</v>
      </c>
    </row>
    <row r="308">
      <c r="A308" s="5" t="inlineStr">
        <is>
          <t xml:space="preserve">BPTM-55-26S075016</t>
        </is>
      </c>
      <c r="B308" s="6" t="inlineStr">
        <is>
          <t xml:space="preserve">BPTM-55-26S075016</t>
        </is>
      </c>
      <c r="C308" s="6" t="inlineStr">
        <is>
          <t xml:space="preserve">AHL3NVDRX7_1</t>
        </is>
      </c>
      <c r="D308" s="15" t="inlineStr">
        <is>
          <t xml:space="preserve">W307_BRCA2_E14_04</t>
        </is>
      </c>
      <c r="E308" s="2">
        <v>5403</v>
      </c>
      <c r="F308" s="16" t="inlineStr">
        <is>
          <t xml:space="preserve">+</t>
        </is>
      </c>
      <c r="G308" s="4">
        <v>0.672</v>
      </c>
      <c r="H308" s="2">
        <v>3672</v>
      </c>
      <c r="I308" s="8" t="inlineStr">
        <is>
          <t xml:space="preserve">+</t>
        </is>
      </c>
      <c r="J308" s="4">
        <v>0.693</v>
      </c>
    </row>
    <row r="309">
      <c r="A309" s="5" t="inlineStr">
        <is>
          <t xml:space="preserve">BPTM-55-26S075016</t>
        </is>
      </c>
      <c r="B309" s="6" t="inlineStr">
        <is>
          <t xml:space="preserve">BPTM-55-26S075016</t>
        </is>
      </c>
      <c r="C309" s="6" t="inlineStr">
        <is>
          <t xml:space="preserve">AHL3NVDRX7_1</t>
        </is>
      </c>
      <c r="D309" s="15" t="inlineStr">
        <is>
          <t xml:space="preserve">W308_BRCA2_E14_05</t>
        </is>
      </c>
      <c r="E309" s="2">
        <v>8176</v>
      </c>
      <c r="F309" s="16" t="inlineStr">
        <is>
          <t xml:space="preserve">+</t>
        </is>
      </c>
      <c r="G309" s="4">
        <v>1.017</v>
      </c>
      <c r="H309" s="2">
        <v>5477</v>
      </c>
      <c r="I309" s="8" t="inlineStr">
        <is>
          <t xml:space="preserve">+</t>
        </is>
      </c>
      <c r="J309" s="4">
        <v>1.034</v>
      </c>
    </row>
    <row r="310">
      <c r="A310" s="5" t="inlineStr">
        <is>
          <t xml:space="preserve">BPTM-55-26S075016</t>
        </is>
      </c>
      <c r="B310" s="6" t="inlineStr">
        <is>
          <t xml:space="preserve">BPTM-55-26S075016</t>
        </is>
      </c>
      <c r="C310" s="6" t="inlineStr">
        <is>
          <t xml:space="preserve">AHL3NVDRX7_1</t>
        </is>
      </c>
      <c r="D310" s="15" t="inlineStr">
        <is>
          <t xml:space="preserve">W309_BRCA2_E14_06</t>
        </is>
      </c>
      <c r="E310" s="2">
        <v>11034</v>
      </c>
      <c r="F310" s="16" t="inlineStr">
        <is>
          <t xml:space="preserve">+</t>
        </is>
      </c>
      <c r="G310" s="4">
        <v>1.372</v>
      </c>
      <c r="H310" s="2">
        <v>6834</v>
      </c>
      <c r="I310" s="8" t="inlineStr">
        <is>
          <t xml:space="preserve">+</t>
        </is>
      </c>
      <c r="J310" s="4">
        <v>1.29</v>
      </c>
    </row>
    <row r="311">
      <c r="A311" s="5" t="inlineStr">
        <is>
          <t xml:space="preserve">BPTM-55-26S075016</t>
        </is>
      </c>
      <c r="B311" s="6" t="inlineStr">
        <is>
          <t xml:space="preserve">BPTM-55-26S075016</t>
        </is>
      </c>
      <c r="C311" s="6" t="inlineStr">
        <is>
          <t xml:space="preserve">AHL3NVDRX7_1</t>
        </is>
      </c>
      <c r="D311" s="15" t="inlineStr">
        <is>
          <t xml:space="preserve">W310_BRCA2_E15_01</t>
        </is>
      </c>
      <c r="E311" s="2">
        <v>4747</v>
      </c>
      <c r="F311" s="16" t="inlineStr">
        <is>
          <t xml:space="preserve">+</t>
        </is>
      </c>
      <c r="G311" s="4">
        <v>0.59</v>
      </c>
      <c r="H311" s="2">
        <v>3416</v>
      </c>
      <c r="I311" s="8" t="inlineStr">
        <is>
          <t xml:space="preserve">+</t>
        </is>
      </c>
      <c r="J311" s="4">
        <v>0.645</v>
      </c>
    </row>
    <row r="312">
      <c r="A312" s="5" t="inlineStr">
        <is>
          <t xml:space="preserve">BPTM-55-26S075016</t>
        </is>
      </c>
      <c r="B312" s="6" t="inlineStr">
        <is>
          <t xml:space="preserve">BPTM-55-26S075016</t>
        </is>
      </c>
      <c r="C312" s="6" t="inlineStr">
        <is>
          <t xml:space="preserve">AHL3NVDRX7_1</t>
        </is>
      </c>
      <c r="D312" s="15" t="inlineStr">
        <is>
          <t xml:space="preserve">W311_BRCA2_E15_02</t>
        </is>
      </c>
      <c r="E312" s="2">
        <v>19002</v>
      </c>
      <c r="F312" s="16" t="inlineStr">
        <is>
          <t xml:space="preserve">+</t>
        </is>
      </c>
      <c r="G312" s="4">
        <v>2.363</v>
      </c>
      <c r="H312" s="2">
        <v>10706</v>
      </c>
      <c r="I312" s="8" t="inlineStr">
        <is>
          <t xml:space="preserve">+</t>
        </is>
      </c>
      <c r="J312" s="4">
        <v>2.021</v>
      </c>
    </row>
    <row r="313">
      <c r="A313" s="5" t="inlineStr">
        <is>
          <t xml:space="preserve">BPTM-55-26S075016</t>
        </is>
      </c>
      <c r="B313" s="6" t="inlineStr">
        <is>
          <t xml:space="preserve">BPTM-55-26S075016</t>
        </is>
      </c>
      <c r="C313" s="6" t="inlineStr">
        <is>
          <t xml:space="preserve">AHL3NVDRX7_1</t>
        </is>
      </c>
      <c r="D313" s="15" t="inlineStr">
        <is>
          <t xml:space="preserve">W312_BRCA2_E15_03</t>
        </is>
      </c>
      <c r="E313" s="2">
        <v>18472</v>
      </c>
      <c r="F313" s="16" t="inlineStr">
        <is>
          <t xml:space="preserve">+</t>
        </is>
      </c>
      <c r="G313" s="4">
        <v>2.297</v>
      </c>
      <c r="H313" s="2">
        <v>11386</v>
      </c>
      <c r="I313" s="8" t="inlineStr">
        <is>
          <t xml:space="preserve">+</t>
        </is>
      </c>
      <c r="J313" s="4">
        <v>2.149</v>
      </c>
    </row>
    <row r="314">
      <c r="A314" s="5" t="inlineStr">
        <is>
          <t xml:space="preserve">BPTM-55-26S075016</t>
        </is>
      </c>
      <c r="B314" s="6" t="inlineStr">
        <is>
          <t xml:space="preserve">BPTM-55-26S075016</t>
        </is>
      </c>
      <c r="C314" s="6" t="inlineStr">
        <is>
          <t xml:space="preserve">AHL3NVDRX7_1</t>
        </is>
      </c>
      <c r="D314" s="15" t="inlineStr">
        <is>
          <t xml:space="preserve">W313_BRCA2_E16_01</t>
        </is>
      </c>
      <c r="E314" s="2">
        <v>3391</v>
      </c>
      <c r="F314" s="16" t="inlineStr">
        <is>
          <t xml:space="preserve">+</t>
        </is>
      </c>
      <c r="G314" s="4">
        <v>0.422</v>
      </c>
      <c r="H314" s="2">
        <v>2376</v>
      </c>
      <c r="I314" s="8" t="inlineStr">
        <is>
          <t xml:space="preserve">+</t>
        </is>
      </c>
      <c r="J314" s="4">
        <v>0.449</v>
      </c>
    </row>
    <row r="315">
      <c r="A315" s="5" t="inlineStr">
        <is>
          <t xml:space="preserve">BPTM-55-26S075016</t>
        </is>
      </c>
      <c r="B315" s="6" t="inlineStr">
        <is>
          <t xml:space="preserve">BPTM-55-26S075016</t>
        </is>
      </c>
      <c r="C315" s="6" t="inlineStr">
        <is>
          <t xml:space="preserve">AHL3NVDRX7_1</t>
        </is>
      </c>
      <c r="D315" s="15" t="inlineStr">
        <is>
          <t xml:space="preserve">W314_BRCA2_E16_02</t>
        </is>
      </c>
      <c r="E315" s="2">
        <v>9968</v>
      </c>
      <c r="F315" s="16" t="inlineStr">
        <is>
          <t xml:space="preserve">+</t>
        </is>
      </c>
      <c r="G315" s="4">
        <v>1.24</v>
      </c>
      <c r="H315" s="2">
        <v>6663</v>
      </c>
      <c r="I315" s="8" t="inlineStr">
        <is>
          <t xml:space="preserve">+</t>
        </is>
      </c>
      <c r="J315" s="4">
        <v>1.258</v>
      </c>
    </row>
    <row r="316">
      <c r="A316" s="5" t="inlineStr">
        <is>
          <t xml:space="preserve">BPTM-55-26S075016</t>
        </is>
      </c>
      <c r="B316" s="6" t="inlineStr">
        <is>
          <t xml:space="preserve">BPTM-55-26S075016</t>
        </is>
      </c>
      <c r="C316" s="6" t="inlineStr">
        <is>
          <t xml:space="preserve">AHL3NVDRX7_1</t>
        </is>
      </c>
      <c r="D316" s="15" t="inlineStr">
        <is>
          <t xml:space="preserve">W315_BRCA2_E16_03</t>
        </is>
      </c>
      <c r="E316" s="2">
        <v>6653</v>
      </c>
      <c r="F316" s="16" t="inlineStr">
        <is>
          <t xml:space="preserve">+</t>
        </is>
      </c>
      <c r="G316" s="4">
        <v>0.827</v>
      </c>
      <c r="H316" s="2">
        <v>4678</v>
      </c>
      <c r="I316" s="8" t="inlineStr">
        <is>
          <t xml:space="preserve">+</t>
        </is>
      </c>
      <c r="J316" s="4">
        <v>0.883</v>
      </c>
    </row>
    <row r="317">
      <c r="A317" s="5" t="inlineStr">
        <is>
          <t xml:space="preserve">BPTM-55-26S075016</t>
        </is>
      </c>
      <c r="B317" s="6" t="inlineStr">
        <is>
          <t xml:space="preserve">BPTM-55-26S075016</t>
        </is>
      </c>
      <c r="C317" s="6" t="inlineStr">
        <is>
          <t xml:space="preserve">AHL3NVDRX7_1</t>
        </is>
      </c>
      <c r="D317" s="15" t="inlineStr">
        <is>
          <t xml:space="preserve">W316_BRCA2_E17_01</t>
        </is>
      </c>
      <c r="E317" s="2">
        <v>2658</v>
      </c>
      <c r="F317" s="16" t="inlineStr">
        <is>
          <t xml:space="preserve">+</t>
        </is>
      </c>
      <c r="G317" s="4">
        <v>0.331</v>
      </c>
      <c r="H317" s="2">
        <v>1814</v>
      </c>
      <c r="I317" s="8" t="inlineStr">
        <is>
          <t xml:space="preserve">+</t>
        </is>
      </c>
      <c r="J317" s="4">
        <v>0.342</v>
      </c>
    </row>
    <row r="318">
      <c r="A318" s="5" t="inlineStr">
        <is>
          <t xml:space="preserve">BPTM-55-26S075016</t>
        </is>
      </c>
      <c r="B318" s="6" t="inlineStr">
        <is>
          <t xml:space="preserve">BPTM-55-26S075016</t>
        </is>
      </c>
      <c r="C318" s="6" t="inlineStr">
        <is>
          <t xml:space="preserve">AHL3NVDRX7_1</t>
        </is>
      </c>
      <c r="D318" s="15" t="inlineStr">
        <is>
          <t xml:space="preserve">W317_BRCA2_E17_02</t>
        </is>
      </c>
      <c r="E318" s="2">
        <v>10920</v>
      </c>
      <c r="F318" s="16" t="inlineStr">
        <is>
          <t xml:space="preserve">+</t>
        </is>
      </c>
      <c r="G318" s="4">
        <v>1.358</v>
      </c>
      <c r="H318" s="2">
        <v>7246</v>
      </c>
      <c r="I318" s="8" t="inlineStr">
        <is>
          <t xml:space="preserve">+</t>
        </is>
      </c>
      <c r="J318" s="4">
        <v>1.368</v>
      </c>
    </row>
    <row r="319">
      <c r="A319" s="5" t="inlineStr">
        <is>
          <t xml:space="preserve">BPTM-55-26S075016</t>
        </is>
      </c>
      <c r="B319" s="6" t="inlineStr">
        <is>
          <t xml:space="preserve">BPTM-55-26S075016</t>
        </is>
      </c>
      <c r="C319" s="6" t="inlineStr">
        <is>
          <t xml:space="preserve">AHL3NVDRX7_1</t>
        </is>
      </c>
      <c r="D319" s="15" t="inlineStr">
        <is>
          <t xml:space="preserve">W318_BRCA2_E17_03</t>
        </is>
      </c>
      <c r="E319" s="2">
        <v>17240</v>
      </c>
      <c r="F319" s="16" t="inlineStr">
        <is>
          <t xml:space="preserve">+</t>
        </is>
      </c>
      <c r="G319" s="4">
        <v>2.144</v>
      </c>
      <c r="H319" s="2">
        <v>11075</v>
      </c>
      <c r="I319" s="8" t="inlineStr">
        <is>
          <t xml:space="preserve">+</t>
        </is>
      </c>
      <c r="J319" s="4">
        <v>2.091</v>
      </c>
    </row>
    <row r="320">
      <c r="A320" s="5" t="inlineStr">
        <is>
          <t xml:space="preserve">BPTM-55-26S075016</t>
        </is>
      </c>
      <c r="B320" s="6" t="inlineStr">
        <is>
          <t xml:space="preserve">BPTM-55-26S075016</t>
        </is>
      </c>
      <c r="C320" s="6" t="inlineStr">
        <is>
          <t xml:space="preserve">AHL3NVDRX7_1</t>
        </is>
      </c>
      <c r="D320" s="15" t="inlineStr">
        <is>
          <t xml:space="preserve">W319_BRCA2_E18_01</t>
        </is>
      </c>
      <c r="E320" s="2">
        <v>3514</v>
      </c>
      <c r="F320" s="16" t="inlineStr">
        <is>
          <t xml:space="preserve">+</t>
        </is>
      </c>
      <c r="G320" s="4">
        <v>0.437</v>
      </c>
      <c r="H320" s="2">
        <v>2552</v>
      </c>
      <c r="I320" s="8" t="inlineStr">
        <is>
          <t xml:space="preserve">+</t>
        </is>
      </c>
      <c r="J320" s="4">
        <v>0.482</v>
      </c>
    </row>
    <row r="321">
      <c r="A321" s="5" t="inlineStr">
        <is>
          <t xml:space="preserve">BPTM-55-26S075016</t>
        </is>
      </c>
      <c r="B321" s="6" t="inlineStr">
        <is>
          <t xml:space="preserve">BPTM-55-26S075016</t>
        </is>
      </c>
      <c r="C321" s="6" t="inlineStr">
        <is>
          <t xml:space="preserve">AHL3NVDRX7_1</t>
        </is>
      </c>
      <c r="D321" s="15" t="inlineStr">
        <is>
          <t xml:space="preserve">W320_BRCA2_E18_02</t>
        </is>
      </c>
      <c r="E321" s="2">
        <v>7006</v>
      </c>
      <c r="F321" s="16" t="inlineStr">
        <is>
          <t xml:space="preserve">+</t>
        </is>
      </c>
      <c r="G321" s="4">
        <v>0.871</v>
      </c>
      <c r="H321" s="2">
        <v>4871</v>
      </c>
      <c r="I321" s="8" t="inlineStr">
        <is>
          <t xml:space="preserve">+</t>
        </is>
      </c>
      <c r="J321" s="4">
        <v>0.92</v>
      </c>
    </row>
    <row r="322">
      <c r="A322" s="5" t="inlineStr">
        <is>
          <t xml:space="preserve">BPTM-55-26S075016</t>
        </is>
      </c>
      <c r="B322" s="6" t="inlineStr">
        <is>
          <t xml:space="preserve">BPTM-55-26S075016</t>
        </is>
      </c>
      <c r="C322" s="6" t="inlineStr">
        <is>
          <t xml:space="preserve">AHL3NVDRX7_1</t>
        </is>
      </c>
      <c r="D322" s="15" t="inlineStr">
        <is>
          <t xml:space="preserve">W321_BRCA2_E18_03</t>
        </is>
      </c>
      <c r="E322" s="2">
        <v>8016</v>
      </c>
      <c r="F322" s="16" t="inlineStr">
        <is>
          <t xml:space="preserve">+</t>
        </is>
      </c>
      <c r="G322" s="4">
        <v>0.997</v>
      </c>
      <c r="H322" s="2">
        <v>5489</v>
      </c>
      <c r="I322" s="8" t="inlineStr">
        <is>
          <t xml:space="preserve">+</t>
        </is>
      </c>
      <c r="J322" s="4">
        <v>1.036</v>
      </c>
    </row>
    <row r="323">
      <c r="A323" s="5" t="inlineStr">
        <is>
          <t xml:space="preserve">BPTM-55-26S075016</t>
        </is>
      </c>
      <c r="B323" s="6" t="inlineStr">
        <is>
          <t xml:space="preserve">BPTM-55-26S075016</t>
        </is>
      </c>
      <c r="C323" s="6" t="inlineStr">
        <is>
          <t xml:space="preserve">AHL3NVDRX7_1</t>
        </is>
      </c>
      <c r="D323" s="15" t="inlineStr">
        <is>
          <t xml:space="preserve">W322_BRCA2_E18_04</t>
        </is>
      </c>
      <c r="E323" s="2">
        <v>6313</v>
      </c>
      <c r="F323" s="16" t="inlineStr">
        <is>
          <t xml:space="preserve">+</t>
        </is>
      </c>
      <c r="G323" s="4">
        <v>0.785</v>
      </c>
      <c r="H323" s="2">
        <v>4571</v>
      </c>
      <c r="I323" s="8" t="inlineStr">
        <is>
          <t xml:space="preserve">+</t>
        </is>
      </c>
      <c r="J323" s="4">
        <v>0.863</v>
      </c>
    </row>
    <row r="324">
      <c r="A324" s="5" t="inlineStr">
        <is>
          <t xml:space="preserve">BPTM-55-26S075016</t>
        </is>
      </c>
      <c r="B324" s="6" t="inlineStr">
        <is>
          <t xml:space="preserve">BPTM-55-26S075016</t>
        </is>
      </c>
      <c r="C324" s="6" t="inlineStr">
        <is>
          <t xml:space="preserve">AHL3NVDRX7_1</t>
        </is>
      </c>
      <c r="D324" s="15" t="inlineStr">
        <is>
          <t xml:space="preserve">W323_BRCA2_E19_01</t>
        </is>
      </c>
      <c r="E324" s="2">
        <v>3434</v>
      </c>
      <c r="F324" s="16" t="inlineStr">
        <is>
          <t xml:space="preserve">+</t>
        </is>
      </c>
      <c r="G324" s="4">
        <v>0.427</v>
      </c>
      <c r="H324" s="2">
        <v>2441</v>
      </c>
      <c r="I324" s="8" t="inlineStr">
        <is>
          <t xml:space="preserve">+</t>
        </is>
      </c>
      <c r="J324" s="4">
        <v>0.461</v>
      </c>
    </row>
    <row r="325">
      <c r="A325" s="5" t="inlineStr">
        <is>
          <t xml:space="preserve">BPTM-55-26S075016</t>
        </is>
      </c>
      <c r="B325" s="6" t="inlineStr">
        <is>
          <t xml:space="preserve">BPTM-55-26S075016</t>
        </is>
      </c>
      <c r="C325" s="6" t="inlineStr">
        <is>
          <t xml:space="preserve">AHL3NVDRX7_1</t>
        </is>
      </c>
      <c r="D325" s="15" t="inlineStr">
        <is>
          <t xml:space="preserve">W324_BRCA2_E19_02</t>
        </is>
      </c>
      <c r="E325" s="2">
        <v>6524</v>
      </c>
      <c r="F325" s="16" t="inlineStr">
        <is>
          <t xml:space="preserve">+</t>
        </is>
      </c>
      <c r="G325" s="4">
        <v>0.811</v>
      </c>
      <c r="H325" s="2">
        <v>4465</v>
      </c>
      <c r="I325" s="8" t="inlineStr">
        <is>
          <t xml:space="preserve">+</t>
        </is>
      </c>
      <c r="J325" s="4">
        <v>0.843</v>
      </c>
    </row>
    <row r="326">
      <c r="A326" s="5" t="inlineStr">
        <is>
          <t xml:space="preserve">BPTM-55-26S075016</t>
        </is>
      </c>
      <c r="B326" s="6" t="inlineStr">
        <is>
          <t xml:space="preserve">BPTM-55-26S075016</t>
        </is>
      </c>
      <c r="C326" s="6" t="inlineStr">
        <is>
          <t xml:space="preserve">AHL3NVDRX7_1</t>
        </is>
      </c>
      <c r="D326" s="15" t="inlineStr">
        <is>
          <t xml:space="preserve">W325_BRCA2_E19_03</t>
        </is>
      </c>
      <c r="E326" s="2">
        <v>5401</v>
      </c>
      <c r="F326" s="16" t="inlineStr">
        <is>
          <t xml:space="preserve">+</t>
        </is>
      </c>
      <c r="G326" s="4">
        <v>0.672</v>
      </c>
      <c r="H326" s="2">
        <v>3730</v>
      </c>
      <c r="I326" s="8" t="inlineStr">
        <is>
          <t xml:space="preserve">+</t>
        </is>
      </c>
      <c r="J326" s="4">
        <v>0.704</v>
      </c>
    </row>
    <row r="327">
      <c r="A327" s="5" t="inlineStr">
        <is>
          <t xml:space="preserve">BPTM-55-26S075016</t>
        </is>
      </c>
      <c r="B327" s="6" t="inlineStr">
        <is>
          <t xml:space="preserve">BPTM-55-26S075016</t>
        </is>
      </c>
      <c r="C327" s="6" t="inlineStr">
        <is>
          <t xml:space="preserve">AHL3NVDRX7_1</t>
        </is>
      </c>
      <c r="D327" s="15" t="inlineStr">
        <is>
          <t xml:space="preserve">W326_BRCA2_E20_01</t>
        </is>
      </c>
      <c r="E327" s="2">
        <v>6685</v>
      </c>
      <c r="F327" s="16" t="inlineStr">
        <is>
          <t xml:space="preserve">+</t>
        </is>
      </c>
      <c r="G327" s="4">
        <v>0.831</v>
      </c>
      <c r="H327" s="2">
        <v>4255</v>
      </c>
      <c r="I327" s="8" t="inlineStr">
        <is>
          <t xml:space="preserve">+</t>
        </is>
      </c>
      <c r="J327" s="4">
        <v>0.803</v>
      </c>
    </row>
    <row r="328">
      <c r="A328" s="5" t="inlineStr">
        <is>
          <t xml:space="preserve">BPTM-55-26S075016</t>
        </is>
      </c>
      <c r="B328" s="6" t="inlineStr">
        <is>
          <t xml:space="preserve">BPTM-55-26S075016</t>
        </is>
      </c>
      <c r="C328" s="6" t="inlineStr">
        <is>
          <t xml:space="preserve">AHL3NVDRX7_1</t>
        </is>
      </c>
      <c r="D328" s="15" t="inlineStr">
        <is>
          <t xml:space="preserve">W327_BRCA2_E20_02</t>
        </is>
      </c>
      <c r="E328" s="2">
        <v>14539</v>
      </c>
      <c r="F328" s="16" t="inlineStr">
        <is>
          <t xml:space="preserve">+</t>
        </is>
      </c>
      <c r="G328" s="4">
        <v>1.808</v>
      </c>
      <c r="H328" s="2">
        <v>9582</v>
      </c>
      <c r="I328" s="8" t="inlineStr">
        <is>
          <t xml:space="preserve">+</t>
        </is>
      </c>
      <c r="J328" s="4">
        <v>1.809</v>
      </c>
    </row>
    <row r="329">
      <c r="A329" s="5" t="inlineStr">
        <is>
          <t xml:space="preserve">BPTM-55-26S075016</t>
        </is>
      </c>
      <c r="B329" s="6" t="inlineStr">
        <is>
          <t xml:space="preserve">BPTM-55-26S075016</t>
        </is>
      </c>
      <c r="C329" s="6" t="inlineStr">
        <is>
          <t xml:space="preserve">AHL3NVDRX7_1</t>
        </is>
      </c>
      <c r="D329" s="15" t="inlineStr">
        <is>
          <t xml:space="preserve">W328_BRCA2_E20_03</t>
        </is>
      </c>
      <c r="E329" s="2">
        <v>3736</v>
      </c>
      <c r="F329" s="16" t="inlineStr">
        <is>
          <t xml:space="preserve">+</t>
        </is>
      </c>
      <c r="G329" s="4">
        <v>0.465</v>
      </c>
      <c r="H329" s="2">
        <v>2703</v>
      </c>
      <c r="I329" s="8" t="inlineStr">
        <is>
          <t xml:space="preserve">+</t>
        </is>
      </c>
      <c r="J329" s="4">
        <v>0.51</v>
      </c>
    </row>
    <row r="330">
      <c r="A330" s="5" t="inlineStr">
        <is>
          <t xml:space="preserve">BPTM-55-26S075016</t>
        </is>
      </c>
      <c r="B330" s="6" t="inlineStr">
        <is>
          <t xml:space="preserve">BPTM-55-26S075016</t>
        </is>
      </c>
      <c r="C330" s="6" t="inlineStr">
        <is>
          <t xml:space="preserve">AHL3NVDRX7_1</t>
        </is>
      </c>
      <c r="D330" s="15" t="inlineStr">
        <is>
          <t xml:space="preserve">W329_BRCA2_E21_01</t>
        </is>
      </c>
      <c r="E330" s="2">
        <v>5920</v>
      </c>
      <c r="F330" s="16" t="inlineStr">
        <is>
          <t xml:space="preserve">+</t>
        </is>
      </c>
      <c r="G330" s="4">
        <v>0.736</v>
      </c>
      <c r="H330" s="2">
        <v>4180</v>
      </c>
      <c r="I330" s="8" t="inlineStr">
        <is>
          <t xml:space="preserve">+</t>
        </is>
      </c>
      <c r="J330" s="4">
        <v>0.789</v>
      </c>
    </row>
    <row r="331">
      <c r="A331" s="5" t="inlineStr">
        <is>
          <t xml:space="preserve">BPTM-55-26S075016</t>
        </is>
      </c>
      <c r="B331" s="6" t="inlineStr">
        <is>
          <t xml:space="preserve">BPTM-55-26S075016</t>
        </is>
      </c>
      <c r="C331" s="6" t="inlineStr">
        <is>
          <t xml:space="preserve">AHL3NVDRX7_1</t>
        </is>
      </c>
      <c r="D331" s="15" t="inlineStr">
        <is>
          <t xml:space="preserve">W330_BRCA2_E21_02</t>
        </is>
      </c>
      <c r="E331" s="2">
        <v>11370</v>
      </c>
      <c r="F331" s="16" t="inlineStr">
        <is>
          <t xml:space="preserve">+</t>
        </is>
      </c>
      <c r="G331" s="4">
        <v>1.414</v>
      </c>
      <c r="H331" s="2">
        <v>6797</v>
      </c>
      <c r="I331" s="8" t="inlineStr">
        <is>
          <t xml:space="preserve">+</t>
        </is>
      </c>
      <c r="J331" s="4">
        <v>1.283</v>
      </c>
    </row>
    <row r="332">
      <c r="A332" s="5" t="inlineStr">
        <is>
          <t xml:space="preserve">BPTM-55-26S075016</t>
        </is>
      </c>
      <c r="B332" s="6" t="inlineStr">
        <is>
          <t xml:space="preserve">BPTM-55-26S075016</t>
        </is>
      </c>
      <c r="C332" s="6" t="inlineStr">
        <is>
          <t xml:space="preserve">AHL3NVDRX7_1</t>
        </is>
      </c>
      <c r="D332" s="15" t="inlineStr">
        <is>
          <t xml:space="preserve">W331_BRCA2_E22_01</t>
        </is>
      </c>
      <c r="E332" s="2">
        <v>11355</v>
      </c>
      <c r="F332" s="16" t="inlineStr">
        <is>
          <t xml:space="preserve">+</t>
        </is>
      </c>
      <c r="G332" s="4">
        <v>1.412</v>
      </c>
      <c r="H332" s="2">
        <v>7821</v>
      </c>
      <c r="I332" s="8" t="inlineStr">
        <is>
          <t xml:space="preserve">+</t>
        </is>
      </c>
      <c r="J332" s="4">
        <v>1.476</v>
      </c>
    </row>
    <row r="333">
      <c r="A333" s="5" t="inlineStr">
        <is>
          <t xml:space="preserve">BPTM-55-26S075016</t>
        </is>
      </c>
      <c r="B333" s="6" t="inlineStr">
        <is>
          <t xml:space="preserve">BPTM-55-26S075016</t>
        </is>
      </c>
      <c r="C333" s="6" t="inlineStr">
        <is>
          <t xml:space="preserve">AHL3NVDRX7_1</t>
        </is>
      </c>
      <c r="D333" s="15" t="inlineStr">
        <is>
          <t xml:space="preserve">W332_BRCA2_E22_02</t>
        </is>
      </c>
      <c r="E333" s="2">
        <v>14238</v>
      </c>
      <c r="F333" s="16" t="inlineStr">
        <is>
          <t xml:space="preserve">+</t>
        </is>
      </c>
      <c r="G333" s="4">
        <v>1.771</v>
      </c>
      <c r="H333" s="2">
        <v>9002</v>
      </c>
      <c r="I333" s="8" t="inlineStr">
        <is>
          <t xml:space="preserve">+</t>
        </is>
      </c>
      <c r="J333" s="4">
        <v>1.699</v>
      </c>
    </row>
    <row r="334">
      <c r="A334" s="5" t="inlineStr">
        <is>
          <t xml:space="preserve">BPTM-55-26S075016</t>
        </is>
      </c>
      <c r="B334" s="6" t="inlineStr">
        <is>
          <t xml:space="preserve">BPTM-55-26S075016</t>
        </is>
      </c>
      <c r="C334" s="6" t="inlineStr">
        <is>
          <t xml:space="preserve">AHL3NVDRX7_1</t>
        </is>
      </c>
      <c r="D334" s="15" t="inlineStr">
        <is>
          <t xml:space="preserve">W333_BRCA2_E22_03</t>
        </is>
      </c>
      <c r="E334" s="2">
        <v>5305</v>
      </c>
      <c r="F334" s="16" t="inlineStr">
        <is>
          <t xml:space="preserve">+</t>
        </is>
      </c>
      <c r="G334" s="4">
        <v>0.66</v>
      </c>
      <c r="H334" s="2">
        <v>3612</v>
      </c>
      <c r="I334" s="8" t="inlineStr">
        <is>
          <t xml:space="preserve">+</t>
        </is>
      </c>
      <c r="J334" s="4">
        <v>0.682</v>
      </c>
    </row>
    <row r="335">
      <c r="A335" s="5" t="inlineStr">
        <is>
          <t xml:space="preserve">BPTM-55-26S075016</t>
        </is>
      </c>
      <c r="B335" s="6" t="inlineStr">
        <is>
          <t xml:space="preserve">BPTM-55-26S075016</t>
        </is>
      </c>
      <c r="C335" s="6" t="inlineStr">
        <is>
          <t xml:space="preserve">AHL3NVDRX7_1</t>
        </is>
      </c>
      <c r="D335" s="15" t="inlineStr">
        <is>
          <t xml:space="preserve">W334_BRCA2_E22_04</t>
        </is>
      </c>
      <c r="E335" s="2">
        <v>3726</v>
      </c>
      <c r="F335" s="16" t="inlineStr">
        <is>
          <t xml:space="preserve">+</t>
        </is>
      </c>
      <c r="G335" s="4">
        <v>0.463</v>
      </c>
      <c r="H335" s="2">
        <v>2712</v>
      </c>
      <c r="I335" s="8" t="inlineStr">
        <is>
          <t xml:space="preserve">+</t>
        </is>
      </c>
      <c r="J335" s="4">
        <v>0.512</v>
      </c>
    </row>
    <row r="336">
      <c r="A336" s="5" t="inlineStr">
        <is>
          <t xml:space="preserve">BPTM-55-26S075016</t>
        </is>
      </c>
      <c r="B336" s="6" t="inlineStr">
        <is>
          <t xml:space="preserve">BPTM-55-26S075016</t>
        </is>
      </c>
      <c r="C336" s="6" t="inlineStr">
        <is>
          <t xml:space="preserve">AHL3NVDRX7_1</t>
        </is>
      </c>
      <c r="D336" s="15" t="inlineStr">
        <is>
          <t xml:space="preserve">W335_BRCA2_E23-24_01</t>
        </is>
      </c>
      <c r="E336" s="2">
        <v>9444</v>
      </c>
      <c r="F336" s="16" t="inlineStr">
        <is>
          <t xml:space="preserve">+</t>
        </is>
      </c>
      <c r="G336" s="4">
        <v>1.174</v>
      </c>
      <c r="H336" s="2">
        <v>6581</v>
      </c>
      <c r="I336" s="8" t="inlineStr">
        <is>
          <t xml:space="preserve">+</t>
        </is>
      </c>
      <c r="J336" s="4">
        <v>1.242</v>
      </c>
    </row>
    <row r="337">
      <c r="A337" s="5" t="inlineStr">
        <is>
          <t xml:space="preserve">BPTM-55-26S075016</t>
        </is>
      </c>
      <c r="B337" s="6" t="inlineStr">
        <is>
          <t xml:space="preserve">BPTM-55-26S075016</t>
        </is>
      </c>
      <c r="C337" s="6" t="inlineStr">
        <is>
          <t xml:space="preserve">AHL3NVDRX7_1</t>
        </is>
      </c>
      <c r="D337" s="15" t="inlineStr">
        <is>
          <t xml:space="preserve">W336_BRCA2_E23-24_02</t>
        </is>
      </c>
      <c r="E337" s="2">
        <v>8434</v>
      </c>
      <c r="F337" s="16" t="inlineStr">
        <is>
          <t xml:space="preserve">+</t>
        </is>
      </c>
      <c r="G337" s="4">
        <v>1.049</v>
      </c>
      <c r="H337" s="2">
        <v>5801</v>
      </c>
      <c r="I337" s="8" t="inlineStr">
        <is>
          <t xml:space="preserve">+</t>
        </is>
      </c>
      <c r="J337" s="4">
        <v>1.095</v>
      </c>
    </row>
    <row r="338">
      <c r="A338" s="5" t="inlineStr">
        <is>
          <t xml:space="preserve">BPTM-55-26S075016</t>
        </is>
      </c>
      <c r="B338" s="6" t="inlineStr">
        <is>
          <t xml:space="preserve">BPTM-55-26S075016</t>
        </is>
      </c>
      <c r="C338" s="6" t="inlineStr">
        <is>
          <t xml:space="preserve">AHL3NVDRX7_1</t>
        </is>
      </c>
      <c r="D338" s="15" t="inlineStr">
        <is>
          <t xml:space="preserve">W337_BRCA2_E23-24_03</t>
        </is>
      </c>
      <c r="E338" s="2">
        <v>5361</v>
      </c>
      <c r="F338" s="16" t="inlineStr">
        <is>
          <t xml:space="preserve">+</t>
        </is>
      </c>
      <c r="G338" s="4">
        <v>0.667</v>
      </c>
      <c r="H338" s="2">
        <v>3736</v>
      </c>
      <c r="I338" s="8" t="inlineStr">
        <is>
          <t xml:space="preserve">+</t>
        </is>
      </c>
      <c r="J338" s="4">
        <v>0.705</v>
      </c>
    </row>
    <row r="339">
      <c r="A339" s="5" t="inlineStr">
        <is>
          <t xml:space="preserve">BPTM-55-26S075016</t>
        </is>
      </c>
      <c r="B339" s="6" t="inlineStr">
        <is>
          <t xml:space="preserve">BPTM-55-26S075016</t>
        </is>
      </c>
      <c r="C339" s="6" t="inlineStr">
        <is>
          <t xml:space="preserve">AHL3NVDRX7_1</t>
        </is>
      </c>
      <c r="D339" s="15" t="inlineStr">
        <is>
          <t xml:space="preserve">W338_BRCA2_E23-24_04</t>
        </is>
      </c>
      <c r="E339" s="2">
        <v>3935</v>
      </c>
      <c r="F339" s="16" t="inlineStr">
        <is>
          <t xml:space="preserve">+</t>
        </is>
      </c>
      <c r="G339" s="4">
        <v>0.489</v>
      </c>
      <c r="H339" s="2">
        <v>2838</v>
      </c>
      <c r="I339" s="8" t="inlineStr">
        <is>
          <t xml:space="preserve">+</t>
        </is>
      </c>
      <c r="J339" s="4">
        <v>0.536</v>
      </c>
    </row>
    <row r="340">
      <c r="A340" s="5" t="inlineStr">
        <is>
          <t xml:space="preserve">BPTM-55-26S075016</t>
        </is>
      </c>
      <c r="B340" s="6" t="inlineStr">
        <is>
          <t xml:space="preserve">BPTM-55-26S075016</t>
        </is>
      </c>
      <c r="C340" s="6" t="inlineStr">
        <is>
          <t xml:space="preserve">AHL3NVDRX7_1</t>
        </is>
      </c>
      <c r="D340" s="15" t="inlineStr">
        <is>
          <t xml:space="preserve">W339_BRCA2_E23-24_05</t>
        </is>
      </c>
      <c r="E340" s="2">
        <v>5992</v>
      </c>
      <c r="F340" s="16" t="inlineStr">
        <is>
          <t xml:space="preserve">+</t>
        </is>
      </c>
      <c r="G340" s="4">
        <v>0.745</v>
      </c>
      <c r="H340" s="2">
        <v>4265</v>
      </c>
      <c r="I340" s="8" t="inlineStr">
        <is>
          <t xml:space="preserve">+</t>
        </is>
      </c>
      <c r="J340" s="4">
        <v>0.805</v>
      </c>
    </row>
    <row r="341">
      <c r="A341" s="5" t="inlineStr">
        <is>
          <t xml:space="preserve">BPTM-55-26S075016</t>
        </is>
      </c>
      <c r="B341" s="6" t="inlineStr">
        <is>
          <t xml:space="preserve">BPTM-55-26S075016</t>
        </is>
      </c>
      <c r="C341" s="6" t="inlineStr">
        <is>
          <t xml:space="preserve">AHL3NVDRX7_1</t>
        </is>
      </c>
      <c r="D341" s="15" t="inlineStr">
        <is>
          <t xml:space="preserve">W340_BRCA2_E25_01</t>
        </is>
      </c>
      <c r="E341" s="2">
        <v>3115</v>
      </c>
      <c r="F341" s="16" t="inlineStr">
        <is>
          <t xml:space="preserve">+</t>
        </is>
      </c>
      <c r="G341" s="4">
        <v>0.387</v>
      </c>
      <c r="H341" s="2">
        <v>2193</v>
      </c>
      <c r="I341" s="8" t="inlineStr">
        <is>
          <t xml:space="preserve">+</t>
        </is>
      </c>
      <c r="J341" s="4">
        <v>0.414</v>
      </c>
    </row>
    <row r="342">
      <c r="A342" s="5" t="inlineStr">
        <is>
          <t xml:space="preserve">BPTM-55-26S075016</t>
        </is>
      </c>
      <c r="B342" s="6" t="inlineStr">
        <is>
          <t xml:space="preserve">BPTM-55-26S075016</t>
        </is>
      </c>
      <c r="C342" s="6" t="inlineStr">
        <is>
          <t xml:space="preserve">AHL3NVDRX7_1</t>
        </is>
      </c>
      <c r="D342" s="15" t="inlineStr">
        <is>
          <t xml:space="preserve">W341_BRCA2_E25_02</t>
        </is>
      </c>
      <c r="E342" s="2">
        <v>8071</v>
      </c>
      <c r="F342" s="16" t="inlineStr">
        <is>
          <t xml:space="preserve">+</t>
        </is>
      </c>
      <c r="G342" s="4">
        <v>1.004</v>
      </c>
      <c r="H342" s="2">
        <v>5739</v>
      </c>
      <c r="I342" s="8" t="inlineStr">
        <is>
          <t xml:space="preserve">+</t>
        </is>
      </c>
      <c r="J342" s="4">
        <v>1.083</v>
      </c>
    </row>
    <row r="343">
      <c r="A343" s="5" t="inlineStr">
        <is>
          <t xml:space="preserve">BPTM-55-26S075016</t>
        </is>
      </c>
      <c r="B343" s="6" t="inlineStr">
        <is>
          <t xml:space="preserve">BPTM-55-26S075016</t>
        </is>
      </c>
      <c r="C343" s="6" t="inlineStr">
        <is>
          <t xml:space="preserve">AHL3NVDRX7_1</t>
        </is>
      </c>
      <c r="D343" s="15" t="inlineStr">
        <is>
          <t xml:space="preserve">W342_BRCA2_E25_03</t>
        </is>
      </c>
      <c r="E343" s="2">
        <v>7119</v>
      </c>
      <c r="F343" s="16" t="inlineStr">
        <is>
          <t xml:space="preserve">+</t>
        </is>
      </c>
      <c r="G343" s="4">
        <v>0.885</v>
      </c>
      <c r="H343" s="2">
        <v>5088</v>
      </c>
      <c r="I343" s="8" t="inlineStr">
        <is>
          <t xml:space="preserve">+</t>
        </is>
      </c>
      <c r="J343" s="4">
        <v>0.96</v>
      </c>
    </row>
    <row r="344">
      <c r="A344" s="5" t="inlineStr">
        <is>
          <t xml:space="preserve">BPTM-55-26S075016</t>
        </is>
      </c>
      <c r="B344" s="6" t="inlineStr">
        <is>
          <t xml:space="preserve">BPTM-55-26S075016</t>
        </is>
      </c>
      <c r="C344" s="6" t="inlineStr">
        <is>
          <t xml:space="preserve">AHL3NVDRX7_1</t>
        </is>
      </c>
      <c r="D344" s="15" t="inlineStr">
        <is>
          <t xml:space="preserve">W343_BRCA2_E26_01</t>
        </is>
      </c>
      <c r="E344" s="2">
        <v>10282</v>
      </c>
      <c r="F344" s="16" t="inlineStr">
        <is>
          <t xml:space="preserve">+</t>
        </is>
      </c>
      <c r="G344" s="4">
        <v>1.279</v>
      </c>
      <c r="H344" s="2">
        <v>7112</v>
      </c>
      <c r="I344" s="8" t="inlineStr">
        <is>
          <t xml:space="preserve">+</t>
        </is>
      </c>
      <c r="J344" s="4">
        <v>1.343</v>
      </c>
    </row>
    <row r="345">
      <c r="A345" s="5" t="inlineStr">
        <is>
          <t xml:space="preserve">BPTM-55-26S075016</t>
        </is>
      </c>
      <c r="B345" s="6" t="inlineStr">
        <is>
          <t xml:space="preserve">BPTM-55-26S075016</t>
        </is>
      </c>
      <c r="C345" s="6" t="inlineStr">
        <is>
          <t xml:space="preserve">AHL3NVDRX7_1</t>
        </is>
      </c>
      <c r="D345" s="15" t="inlineStr">
        <is>
          <t xml:space="preserve">W344_BRCA2_E26_02</t>
        </is>
      </c>
      <c r="E345" s="2">
        <v>7362</v>
      </c>
      <c r="F345" s="16" t="inlineStr">
        <is>
          <t xml:space="preserve">+</t>
        </is>
      </c>
      <c r="G345" s="4">
        <v>0.915</v>
      </c>
      <c r="H345" s="2">
        <v>5004</v>
      </c>
      <c r="I345" s="8" t="inlineStr">
        <is>
          <t xml:space="preserve">+</t>
        </is>
      </c>
      <c r="J345" s="4">
        <v>0.945</v>
      </c>
    </row>
    <row r="346">
      <c r="A346" s="5" t="inlineStr">
        <is>
          <t xml:space="preserve">BPTM-55-26S075016</t>
        </is>
      </c>
      <c r="B346" s="6" t="inlineStr">
        <is>
          <t xml:space="preserve">BPTM-55-26S075016</t>
        </is>
      </c>
      <c r="C346" s="6" t="inlineStr">
        <is>
          <t xml:space="preserve">AHL3NVDRX7_1</t>
        </is>
      </c>
      <c r="D346" s="15" t="inlineStr">
        <is>
          <t xml:space="preserve">W345_BRCA2_E26_03</t>
        </is>
      </c>
      <c r="E346" s="2">
        <v>9354</v>
      </c>
      <c r="F346" s="16" t="inlineStr">
        <is>
          <t xml:space="preserve">+</t>
        </is>
      </c>
      <c r="G346" s="4">
        <v>1.163</v>
      </c>
      <c r="H346" s="2">
        <v>6319</v>
      </c>
      <c r="I346" s="8" t="inlineStr">
        <is>
          <t xml:space="preserve">+</t>
        </is>
      </c>
      <c r="J346" s="4">
        <v>1.193</v>
      </c>
    </row>
    <row r="347">
      <c r="A347" s="5" t="inlineStr">
        <is>
          <t xml:space="preserve">BPTM-55-26S075016</t>
        </is>
      </c>
      <c r="B347" s="6" t="inlineStr">
        <is>
          <t xml:space="preserve">BPTM-55-26S075016</t>
        </is>
      </c>
      <c r="C347" s="6" t="inlineStr">
        <is>
          <t xml:space="preserve">AHL3NVDRX7_1</t>
        </is>
      </c>
      <c r="D347" s="15" t="inlineStr">
        <is>
          <t xml:space="preserve">W346_BRCA2_E27_01</t>
        </is>
      </c>
      <c r="E347" s="2">
        <v>3939</v>
      </c>
      <c r="F347" s="16" t="inlineStr">
        <is>
          <t xml:space="preserve">+</t>
        </is>
      </c>
      <c r="G347" s="4">
        <v>0.49</v>
      </c>
      <c r="H347" s="2">
        <v>2845</v>
      </c>
      <c r="I347" s="8" t="inlineStr">
        <is>
          <t xml:space="preserve">+</t>
        </is>
      </c>
      <c r="J347" s="4">
        <v>0.537</v>
      </c>
    </row>
    <row r="348">
      <c r="A348" s="5" t="inlineStr">
        <is>
          <t xml:space="preserve">BPTM-55-26S075016</t>
        </is>
      </c>
      <c r="B348" s="6" t="inlineStr">
        <is>
          <t xml:space="preserve">BPTM-55-26S075016</t>
        </is>
      </c>
      <c r="C348" s="6" t="inlineStr">
        <is>
          <t xml:space="preserve">AHL3NVDRX7_1</t>
        </is>
      </c>
      <c r="D348" s="15" t="inlineStr">
        <is>
          <t xml:space="preserve">W347_BRCA2_E27_02</t>
        </is>
      </c>
      <c r="E348" s="2">
        <v>6317</v>
      </c>
      <c r="F348" s="16" t="inlineStr">
        <is>
          <t xml:space="preserve">+</t>
        </is>
      </c>
      <c r="G348" s="4">
        <v>0.786</v>
      </c>
      <c r="H348" s="2">
        <v>4428</v>
      </c>
      <c r="I348" s="8" t="inlineStr">
        <is>
          <t xml:space="preserve">+</t>
        </is>
      </c>
      <c r="J348" s="4">
        <v>0.836</v>
      </c>
    </row>
    <row r="349">
      <c r="A349" s="5" t="inlineStr">
        <is>
          <t xml:space="preserve">BPTM-55-26S075016</t>
        </is>
      </c>
      <c r="B349" s="6" t="inlineStr">
        <is>
          <t xml:space="preserve">BPTM-55-26S075016</t>
        </is>
      </c>
      <c r="C349" s="6" t="inlineStr">
        <is>
          <t xml:space="preserve">AHL3NVDRX7_1</t>
        </is>
      </c>
      <c r="D349" s="15" t="inlineStr">
        <is>
          <t xml:space="preserve">W348_BRCA2_E27_03</t>
        </is>
      </c>
      <c r="E349" s="2">
        <v>6623</v>
      </c>
      <c r="F349" s="16" t="inlineStr">
        <is>
          <t xml:space="preserve">+</t>
        </is>
      </c>
      <c r="G349" s="4">
        <v>0.824</v>
      </c>
      <c r="H349" s="2">
        <v>4601</v>
      </c>
      <c r="I349" s="8" t="inlineStr">
        <is>
          <t xml:space="preserve">+</t>
        </is>
      </c>
      <c r="J349" s="4">
        <v>0.869</v>
      </c>
    </row>
    <row r="350">
      <c r="A350" s="5" t="inlineStr">
        <is>
          <t xml:space="preserve">BPTM-55-26S075016</t>
        </is>
      </c>
      <c r="B350" s="6" t="inlineStr">
        <is>
          <t xml:space="preserve">BPTM-55-26S075016</t>
        </is>
      </c>
      <c r="C350" s="6" t="inlineStr">
        <is>
          <t xml:space="preserve">AHL3NVDRX7_1</t>
        </is>
      </c>
      <c r="D350" s="15" t="inlineStr">
        <is>
          <t xml:space="preserve">W349_BRCA2_E27_04</t>
        </is>
      </c>
      <c r="E350" s="2">
        <v>3538</v>
      </c>
      <c r="F350" s="16" t="inlineStr">
        <is>
          <t xml:space="preserve">+</t>
        </is>
      </c>
      <c r="G350" s="4">
        <v>0.44</v>
      </c>
      <c r="H350" s="2">
        <v>2606</v>
      </c>
      <c r="I350" s="8" t="inlineStr">
        <is>
          <t xml:space="preserve">+</t>
        </is>
      </c>
      <c r="J350" s="4">
        <v>0.492</v>
      </c>
    </row>
    <row r="351">
      <c r="A351" s="5" t="inlineStr">
        <is>
          <t xml:space="preserve">BPTM-55-26S075016</t>
        </is>
      </c>
      <c r="B351" s="6" t="inlineStr">
        <is>
          <t xml:space="preserve">BPTM-55-26S075016</t>
        </is>
      </c>
      <c r="C351" s="6" t="inlineStr">
        <is>
          <t xml:space="preserve">AHL3NVDRX7_1</t>
        </is>
      </c>
      <c r="D351" s="15" t="inlineStr">
        <is>
          <t xml:space="preserve">W350_BRCA2_E27_05</t>
        </is>
      </c>
      <c r="E351" s="2">
        <v>6448</v>
      </c>
      <c r="F351" s="16" t="inlineStr">
        <is>
          <t xml:space="preserve">+</t>
        </is>
      </c>
      <c r="G351" s="4">
        <v>0.802</v>
      </c>
      <c r="H351" s="2">
        <v>4661</v>
      </c>
      <c r="I351" s="8" t="inlineStr">
        <is>
          <t xml:space="preserve">+</t>
        </is>
      </c>
      <c r="J351" s="4">
        <v>0.88</v>
      </c>
    </row>
    <row r="352">
      <c r="A352" s="5" t="inlineStr">
        <is>
          <t xml:space="preserve">BPTM-55-26S075016</t>
        </is>
      </c>
      <c r="B352" s="6" t="inlineStr">
        <is>
          <t xml:space="preserve">BPTM-55-26S075016</t>
        </is>
      </c>
      <c r="C352" s="6" t="inlineStr">
        <is>
          <t xml:space="preserve">AHL3NVDRX7_1</t>
        </is>
      </c>
      <c r="D352" s="15" t="inlineStr">
        <is>
          <t xml:space="preserve">W351_BRCA2_E27_06</t>
        </is>
      </c>
      <c r="E352" s="2">
        <v>8919</v>
      </c>
      <c r="F352" s="16" t="inlineStr">
        <is>
          <t xml:space="preserve">+</t>
        </is>
      </c>
      <c r="G352" s="4">
        <v>1.109</v>
      </c>
      <c r="H352" s="2">
        <v>6095</v>
      </c>
      <c r="I352" s="8" t="inlineStr">
        <is>
          <t xml:space="preserve">+</t>
        </is>
      </c>
      <c r="J352" s="4">
        <v>1.151</v>
      </c>
    </row>
    <row r="353">
      <c r="A353" s="5" t="inlineStr">
        <is>
          <t xml:space="preserve">BPTM-55-26S075016</t>
        </is>
      </c>
      <c r="B353" s="6" t="inlineStr">
        <is>
          <t xml:space="preserve">BPTM-55-26S075016</t>
        </is>
      </c>
      <c r="C353" s="6" t="inlineStr">
        <is>
          <t xml:space="preserve">AHL3NVDRX7_1</t>
        </is>
      </c>
      <c r="D353" s="15" t="inlineStr">
        <is>
          <t xml:space="preserve">W352_BRCA2_E27_07</t>
        </is>
      </c>
      <c r="E353" s="2">
        <v>9816</v>
      </c>
      <c r="F353" s="16" t="inlineStr">
        <is>
          <t xml:space="preserve">+</t>
        </is>
      </c>
      <c r="G353" s="4">
        <v>1.221</v>
      </c>
      <c r="H353" s="2">
        <v>6668</v>
      </c>
      <c r="I353" s="8" t="inlineStr">
        <is>
          <t xml:space="preserve">+</t>
        </is>
      </c>
      <c r="J353" s="4">
        <v>1.259</v>
      </c>
    </row>
    <row r="354">
      <c r="A354" s="5" t="inlineStr">
        <is>
          <t xml:space="preserve">BPTM-55-26S075016</t>
        </is>
      </c>
      <c r="B354" s="6" t="inlineStr">
        <is>
          <t xml:space="preserve">BPTM-55-26S075016</t>
        </is>
      </c>
      <c r="C354" s="6" t="inlineStr">
        <is>
          <t xml:space="preserve">AHL3NVDRX7_1</t>
        </is>
      </c>
      <c r="D354" s="15" t="inlineStr">
        <is>
          <t xml:space="preserve">W353_TP53_E11_01</t>
        </is>
      </c>
      <c r="E354" s="2">
        <v>9152</v>
      </c>
      <c r="F354" s="16" t="inlineStr">
        <is>
          <t xml:space="preserve">+</t>
        </is>
      </c>
      <c r="G354" s="4">
        <v>1.138</v>
      </c>
      <c r="H354" s="2">
        <v>5961</v>
      </c>
      <c r="I354" s="8" t="inlineStr">
        <is>
          <t xml:space="preserve">+</t>
        </is>
      </c>
      <c r="J354" s="4">
        <v>1.125</v>
      </c>
    </row>
    <row r="355">
      <c r="A355" s="5" t="inlineStr">
        <is>
          <t xml:space="preserve">BPTM-55-26S075016</t>
        </is>
      </c>
      <c r="B355" s="6" t="inlineStr">
        <is>
          <t xml:space="preserve">BPTM-55-26S075016</t>
        </is>
      </c>
      <c r="C355" s="6" t="inlineStr">
        <is>
          <t xml:space="preserve">AHL3NVDRX7_1</t>
        </is>
      </c>
      <c r="D355" s="15" t="inlineStr">
        <is>
          <t xml:space="preserve">W354_TP53_E11_02</t>
        </is>
      </c>
      <c r="E355" s="2">
        <v>12432</v>
      </c>
      <c r="F355" s="16" t="inlineStr">
        <is>
          <t xml:space="preserve">+</t>
        </is>
      </c>
      <c r="G355" s="4">
        <v>1.546</v>
      </c>
      <c r="H355" s="2">
        <v>7536</v>
      </c>
      <c r="I355" s="8" t="inlineStr">
        <is>
          <t xml:space="preserve">+</t>
        </is>
      </c>
      <c r="J355" s="4">
        <v>1.423</v>
      </c>
    </row>
    <row r="356">
      <c r="A356" s="5" t="inlineStr">
        <is>
          <t xml:space="preserve">BPTM-55-26S075016</t>
        </is>
      </c>
      <c r="B356" s="6" t="inlineStr">
        <is>
          <t xml:space="preserve">BPTM-55-26S075016</t>
        </is>
      </c>
      <c r="C356" s="6" t="inlineStr">
        <is>
          <t xml:space="preserve">AHL3NVDRX7_1</t>
        </is>
      </c>
      <c r="D356" s="15" t="inlineStr">
        <is>
          <t xml:space="preserve">W355_TP53_E10_01</t>
        </is>
      </c>
      <c r="E356" s="2">
        <v>6863</v>
      </c>
      <c r="F356" s="16" t="inlineStr">
        <is>
          <t xml:space="preserve">+</t>
        </is>
      </c>
      <c r="G356" s="4">
        <v>0.853</v>
      </c>
      <c r="H356" s="2">
        <v>4150</v>
      </c>
      <c r="I356" s="8" t="inlineStr">
        <is>
          <t xml:space="preserve">+</t>
        </is>
      </c>
      <c r="J356" s="4">
        <v>0.783</v>
      </c>
    </row>
    <row r="357">
      <c r="A357" s="5" t="inlineStr">
        <is>
          <t xml:space="preserve">BPTM-55-26S075016</t>
        </is>
      </c>
      <c r="B357" s="6" t="inlineStr">
        <is>
          <t xml:space="preserve">BPTM-55-26S075016</t>
        </is>
      </c>
      <c r="C357" s="6" t="inlineStr">
        <is>
          <t xml:space="preserve">AHL3NVDRX7_1</t>
        </is>
      </c>
      <c r="D357" s="15" t="inlineStr">
        <is>
          <t xml:space="preserve">W356_TP53_E10_02</t>
        </is>
      </c>
      <c r="E357" s="2">
        <v>25316</v>
      </c>
      <c r="F357" s="16" t="inlineStr">
        <is>
          <t xml:space="preserve">+</t>
        </is>
      </c>
      <c r="G357" s="4">
        <v>3.148</v>
      </c>
      <c r="H357" s="2">
        <v>15052</v>
      </c>
      <c r="I357" s="8" t="inlineStr">
        <is>
          <t xml:space="preserve">+</t>
        </is>
      </c>
      <c r="J357" s="4">
        <v>2.841</v>
      </c>
    </row>
    <row r="358">
      <c r="A358" s="5" t="inlineStr">
        <is>
          <t xml:space="preserve">BPTM-55-26S075016</t>
        </is>
      </c>
      <c r="B358" s="6" t="inlineStr">
        <is>
          <t xml:space="preserve">BPTM-55-26S075016</t>
        </is>
      </c>
      <c r="C358" s="6" t="inlineStr">
        <is>
          <t xml:space="preserve">AHL3NVDRX7_1</t>
        </is>
      </c>
      <c r="D358" s="15" t="inlineStr">
        <is>
          <t xml:space="preserve">W357_TP53_E09_01</t>
        </is>
      </c>
      <c r="E358" s="2">
        <v>11141</v>
      </c>
      <c r="F358" s="16" t="inlineStr">
        <is>
          <t xml:space="preserve">+</t>
        </is>
      </c>
      <c r="G358" s="4">
        <v>1.385</v>
      </c>
      <c r="H358" s="2">
        <v>7118</v>
      </c>
      <c r="I358" s="8" t="inlineStr">
        <is>
          <t xml:space="preserve">+</t>
        </is>
      </c>
      <c r="J358" s="4">
        <v>1.344</v>
      </c>
    </row>
    <row r="359">
      <c r="A359" s="5" t="inlineStr">
        <is>
          <t xml:space="preserve">BPTM-55-26S075016</t>
        </is>
      </c>
      <c r="B359" s="6" t="inlineStr">
        <is>
          <t xml:space="preserve">BPTM-55-26S075016</t>
        </is>
      </c>
      <c r="C359" s="6" t="inlineStr">
        <is>
          <t xml:space="preserve">AHL3NVDRX7_1</t>
        </is>
      </c>
      <c r="D359" s="15" t="inlineStr">
        <is>
          <t xml:space="preserve">W358_TP53_E09_02</t>
        </is>
      </c>
      <c r="E359" s="2">
        <v>8404</v>
      </c>
      <c r="F359" s="16" t="inlineStr">
        <is>
          <t xml:space="preserve">+</t>
        </is>
      </c>
      <c r="G359" s="4">
        <v>1.045</v>
      </c>
      <c r="H359" s="2">
        <v>5081</v>
      </c>
      <c r="I359" s="8" t="inlineStr">
        <is>
          <t xml:space="preserve">+</t>
        </is>
      </c>
      <c r="J359" s="4">
        <v>0.959</v>
      </c>
    </row>
    <row r="360">
      <c r="A360" s="5" t="inlineStr">
        <is>
          <t xml:space="preserve">BPTM-55-26S075016</t>
        </is>
      </c>
      <c r="B360" s="6" t="inlineStr">
        <is>
          <t xml:space="preserve">BPTM-55-26S075016</t>
        </is>
      </c>
      <c r="C360" s="6" t="inlineStr">
        <is>
          <t xml:space="preserve">AHL3NVDRX7_1</t>
        </is>
      </c>
      <c r="D360" s="15" t="inlineStr">
        <is>
          <t xml:space="preserve">W359_TP53_E08_01</t>
        </is>
      </c>
      <c r="E360" s="2">
        <v>23066</v>
      </c>
      <c r="F360" s="16" t="inlineStr">
        <is>
          <t xml:space="preserve">+</t>
        </is>
      </c>
      <c r="G360" s="4">
        <v>2.868</v>
      </c>
      <c r="H360" s="2">
        <v>13820</v>
      </c>
      <c r="I360" s="8" t="inlineStr">
        <is>
          <t xml:space="preserve">+</t>
        </is>
      </c>
      <c r="J360" s="4">
        <v>2.609</v>
      </c>
    </row>
    <row r="361">
      <c r="A361" s="5" t="inlineStr">
        <is>
          <t xml:space="preserve">BPTM-55-26S075016</t>
        </is>
      </c>
      <c r="B361" s="6" t="inlineStr">
        <is>
          <t xml:space="preserve">BPTM-55-26S075016</t>
        </is>
      </c>
      <c r="C361" s="6" t="inlineStr">
        <is>
          <t xml:space="preserve">AHL3NVDRX7_1</t>
        </is>
      </c>
      <c r="D361" s="15" t="inlineStr">
        <is>
          <t xml:space="preserve">W360_TP53_E08_02</t>
        </is>
      </c>
      <c r="E361" s="2">
        <v>15699</v>
      </c>
      <c r="F361" s="16" t="inlineStr">
        <is>
          <t xml:space="preserve">+</t>
        </is>
      </c>
      <c r="G361" s="4">
        <v>1.952</v>
      </c>
      <c r="H361" s="2">
        <v>9841</v>
      </c>
      <c r="I361" s="8" t="inlineStr">
        <is>
          <t xml:space="preserve">+</t>
        </is>
      </c>
      <c r="J361" s="4">
        <v>1.858</v>
      </c>
    </row>
    <row r="362">
      <c r="A362" s="5" t="inlineStr">
        <is>
          <t xml:space="preserve">BPTM-55-26S075016</t>
        </is>
      </c>
      <c r="B362" s="6" t="inlineStr">
        <is>
          <t xml:space="preserve">BPTM-55-26S075016</t>
        </is>
      </c>
      <c r="C362" s="6" t="inlineStr">
        <is>
          <t xml:space="preserve">AHL3NVDRX7_1</t>
        </is>
      </c>
      <c r="D362" s="15" t="inlineStr">
        <is>
          <t xml:space="preserve">W361_TP53_E07_01</t>
        </is>
      </c>
      <c r="E362" s="2">
        <v>12460</v>
      </c>
      <c r="F362" s="16" t="inlineStr">
        <is>
          <t xml:space="preserve">+</t>
        </is>
      </c>
      <c r="G362" s="4">
        <v>1.549</v>
      </c>
      <c r="H362" s="2">
        <v>6431</v>
      </c>
      <c r="I362" s="8" t="inlineStr">
        <is>
          <t xml:space="preserve">+</t>
        </is>
      </c>
      <c r="J362" s="4">
        <v>1.214</v>
      </c>
    </row>
    <row r="363">
      <c r="A363" s="5" t="inlineStr">
        <is>
          <t xml:space="preserve">BPTM-55-26S075016</t>
        </is>
      </c>
      <c r="B363" s="6" t="inlineStr">
        <is>
          <t xml:space="preserve">BPTM-55-26S075016</t>
        </is>
      </c>
      <c r="C363" s="6" t="inlineStr">
        <is>
          <t xml:space="preserve">AHL3NVDRX7_1</t>
        </is>
      </c>
      <c r="D363" s="15" t="inlineStr">
        <is>
          <t xml:space="preserve">W362_TP53_E07_02</t>
        </is>
      </c>
      <c r="E363" s="2">
        <v>23950</v>
      </c>
      <c r="F363" s="16" t="inlineStr">
        <is>
          <t xml:space="preserve">+</t>
        </is>
      </c>
      <c r="G363" s="4">
        <v>2.978</v>
      </c>
      <c r="H363" s="2">
        <v>12448</v>
      </c>
      <c r="I363" s="8" t="inlineStr">
        <is>
          <t xml:space="preserve">+</t>
        </is>
      </c>
      <c r="J363" s="4">
        <v>2.35</v>
      </c>
    </row>
    <row r="364">
      <c r="A364" s="5" t="inlineStr">
        <is>
          <t xml:space="preserve">BPTM-55-26S075016</t>
        </is>
      </c>
      <c r="B364" s="6" t="inlineStr">
        <is>
          <t xml:space="preserve">BPTM-55-26S075016</t>
        </is>
      </c>
      <c r="C364" s="6" t="inlineStr">
        <is>
          <t xml:space="preserve">AHL3NVDRX7_1</t>
        </is>
      </c>
      <c r="D364" s="15" t="inlineStr">
        <is>
          <t xml:space="preserve">W363_TP53_E07_03</t>
        </is>
      </c>
      <c r="E364" s="2">
        <v>14851</v>
      </c>
      <c r="F364" s="16" t="inlineStr">
        <is>
          <t xml:space="preserve">+</t>
        </is>
      </c>
      <c r="G364" s="4">
        <v>1.847</v>
      </c>
      <c r="H364" s="2">
        <v>8399</v>
      </c>
      <c r="I364" s="8" t="inlineStr">
        <is>
          <t xml:space="preserve">+</t>
        </is>
      </c>
      <c r="J364" s="4">
        <v>1.585</v>
      </c>
    </row>
    <row r="365">
      <c r="A365" s="5" t="inlineStr">
        <is>
          <t xml:space="preserve">BPTM-55-26S075016</t>
        </is>
      </c>
      <c r="B365" s="6" t="inlineStr">
        <is>
          <t xml:space="preserve">BPTM-55-26S075016</t>
        </is>
      </c>
      <c r="C365" s="6" t="inlineStr">
        <is>
          <t xml:space="preserve">AHL3NVDRX7_1</t>
        </is>
      </c>
      <c r="D365" s="15" t="inlineStr">
        <is>
          <t xml:space="preserve">W364_TP53_E06_01</t>
        </is>
      </c>
      <c r="E365" s="2">
        <v>5221</v>
      </c>
      <c r="F365" s="16" t="inlineStr">
        <is>
          <t xml:space="preserve">+</t>
        </is>
      </c>
      <c r="G365" s="4">
        <v>0.649</v>
      </c>
      <c r="H365" s="2">
        <v>3549</v>
      </c>
      <c r="I365" s="8" t="inlineStr">
        <is>
          <t xml:space="preserve">+</t>
        </is>
      </c>
      <c r="J365" s="4">
        <v>0.67</v>
      </c>
    </row>
    <row r="366">
      <c r="A366" s="5" t="inlineStr">
        <is>
          <t xml:space="preserve">BPTM-55-26S075016</t>
        </is>
      </c>
      <c r="B366" s="6" t="inlineStr">
        <is>
          <t xml:space="preserve">BPTM-55-26S075016</t>
        </is>
      </c>
      <c r="C366" s="6" t="inlineStr">
        <is>
          <t xml:space="preserve">AHL3NVDRX7_1</t>
        </is>
      </c>
      <c r="D366" s="15" t="inlineStr">
        <is>
          <t xml:space="preserve">W365_TP53_E06_02</t>
        </is>
      </c>
      <c r="E366" s="2">
        <v>5091</v>
      </c>
      <c r="F366" s="16" t="inlineStr">
        <is>
          <t xml:space="preserve">+</t>
        </is>
      </c>
      <c r="G366" s="4">
        <v>0.633</v>
      </c>
      <c r="H366" s="2">
        <v>3134</v>
      </c>
      <c r="I366" s="8" t="inlineStr">
        <is>
          <t xml:space="preserve">+</t>
        </is>
      </c>
      <c r="J366" s="4">
        <v>0.592</v>
      </c>
    </row>
    <row r="367">
      <c r="A367" s="5" t="inlineStr">
        <is>
          <t xml:space="preserve">BPTM-55-26S075016</t>
        </is>
      </c>
      <c r="B367" s="6" t="inlineStr">
        <is>
          <t xml:space="preserve">BPTM-55-26S075016</t>
        </is>
      </c>
      <c r="C367" s="6" t="inlineStr">
        <is>
          <t xml:space="preserve">AHL3NVDRX7_1</t>
        </is>
      </c>
      <c r="D367" s="15" t="inlineStr">
        <is>
          <t xml:space="preserve">W366_TP53_E05_01</t>
        </is>
      </c>
      <c r="E367" s="2">
        <v>4673</v>
      </c>
      <c r="F367" s="16" t="inlineStr">
        <is>
          <t xml:space="preserve">+</t>
        </is>
      </c>
      <c r="G367" s="4">
        <v>0.581</v>
      </c>
      <c r="H367" s="2">
        <v>2833</v>
      </c>
      <c r="I367" s="8" t="inlineStr">
        <is>
          <t xml:space="preserve">+</t>
        </is>
      </c>
      <c r="J367" s="4">
        <v>0.535</v>
      </c>
    </row>
    <row r="368">
      <c r="A368" s="5" t="inlineStr">
        <is>
          <t xml:space="preserve">BPTM-55-26S075016</t>
        </is>
      </c>
      <c r="B368" s="6" t="inlineStr">
        <is>
          <t xml:space="preserve">BPTM-55-26S075016</t>
        </is>
      </c>
      <c r="C368" s="6" t="inlineStr">
        <is>
          <t xml:space="preserve">AHL3NVDRX7_1</t>
        </is>
      </c>
      <c r="D368" s="15" t="inlineStr">
        <is>
          <t xml:space="preserve">W367_TP53_E05_02</t>
        </is>
      </c>
      <c r="E368" s="2">
        <v>16227</v>
      </c>
      <c r="F368" s="16" t="inlineStr">
        <is>
          <t xml:space="preserve">+</t>
        </is>
      </c>
      <c r="G368" s="4">
        <v>2.018</v>
      </c>
      <c r="H368" s="2">
        <v>8489</v>
      </c>
      <c r="I368" s="8" t="inlineStr">
        <is>
          <t xml:space="preserve">+</t>
        </is>
      </c>
      <c r="J368" s="4">
        <v>1.602</v>
      </c>
    </row>
    <row r="369">
      <c r="A369" s="5" t="inlineStr">
        <is>
          <t xml:space="preserve">BPTM-55-26S075016</t>
        </is>
      </c>
      <c r="B369" s="6" t="inlineStr">
        <is>
          <t xml:space="preserve">BPTM-55-26S075016</t>
        </is>
      </c>
      <c r="C369" s="6" t="inlineStr">
        <is>
          <t xml:space="preserve">AHL3NVDRX7_1</t>
        </is>
      </c>
      <c r="D369" s="15" t="inlineStr">
        <is>
          <t xml:space="preserve">W368_TP53_E05_03</t>
        </is>
      </c>
      <c r="E369" s="2">
        <v>9149</v>
      </c>
      <c r="F369" s="16" t="inlineStr">
        <is>
          <t xml:space="preserve">+</t>
        </is>
      </c>
      <c r="G369" s="4">
        <v>1.138</v>
      </c>
      <c r="H369" s="2">
        <v>4685</v>
      </c>
      <c r="I369" s="8" t="inlineStr">
        <is>
          <t xml:space="preserve">+</t>
        </is>
      </c>
      <c r="J369" s="4">
        <v>0.884</v>
      </c>
    </row>
    <row r="370">
      <c r="A370" s="5" t="inlineStr">
        <is>
          <t xml:space="preserve">BPTM-55-26S075016</t>
        </is>
      </c>
      <c r="B370" s="6" t="inlineStr">
        <is>
          <t xml:space="preserve">BPTM-55-26S075016</t>
        </is>
      </c>
      <c r="C370" s="6" t="inlineStr">
        <is>
          <t xml:space="preserve">AHL3NVDRX7_1</t>
        </is>
      </c>
      <c r="D370" s="15" t="inlineStr">
        <is>
          <t xml:space="preserve">W369_TP53_E04_01</t>
        </is>
      </c>
      <c r="E370" s="2">
        <v>8867</v>
      </c>
      <c r="F370" s="16" t="inlineStr">
        <is>
          <t xml:space="preserve">+</t>
        </is>
      </c>
      <c r="G370" s="4">
        <v>1.103</v>
      </c>
      <c r="H370" s="2">
        <v>5289</v>
      </c>
      <c r="I370" s="8" t="inlineStr">
        <is>
          <t xml:space="preserve">+</t>
        </is>
      </c>
      <c r="J370" s="4">
        <v>0.998</v>
      </c>
    </row>
    <row r="371">
      <c r="A371" s="5" t="inlineStr">
        <is>
          <t xml:space="preserve">BPTM-55-26S075016</t>
        </is>
      </c>
      <c r="B371" s="6" t="inlineStr">
        <is>
          <t xml:space="preserve">BPTM-55-26S075016</t>
        </is>
      </c>
      <c r="C371" s="6" t="inlineStr">
        <is>
          <t xml:space="preserve">AHL3NVDRX7_1</t>
        </is>
      </c>
      <c r="D371" s="15" t="inlineStr">
        <is>
          <t xml:space="preserve">W370_TP53_E04_02</t>
        </is>
      </c>
      <c r="E371" s="2">
        <v>20429</v>
      </c>
      <c r="F371" s="16" t="inlineStr">
        <is>
          <t xml:space="preserve">+</t>
        </is>
      </c>
      <c r="G371" s="4">
        <v>2.54</v>
      </c>
      <c r="H371" s="2">
        <v>12505</v>
      </c>
      <c r="I371" s="8" t="inlineStr">
        <is>
          <t xml:space="preserve">+</t>
        </is>
      </c>
      <c r="J371" s="4">
        <v>2.361</v>
      </c>
    </row>
    <row r="372">
      <c r="A372" s="5" t="inlineStr">
        <is>
          <t xml:space="preserve">BPTM-55-26S075016</t>
        </is>
      </c>
      <c r="B372" s="6" t="inlineStr">
        <is>
          <t xml:space="preserve">BPTM-55-26S075016</t>
        </is>
      </c>
      <c r="C372" s="6" t="inlineStr">
        <is>
          <t xml:space="preserve">AHL3NVDRX7_1</t>
        </is>
      </c>
      <c r="D372" s="15" t="inlineStr">
        <is>
          <t xml:space="preserve">W371_TP53_E04_03</t>
        </is>
      </c>
      <c r="E372" s="2">
        <v>1348</v>
      </c>
      <c r="F372" s="16" t="inlineStr">
        <is>
          <t xml:space="preserve">-</t>
        </is>
      </c>
      <c r="G372" s="4">
        <v>0.168</v>
      </c>
      <c r="H372" s="2">
        <v>873</v>
      </c>
      <c r="I372" s="8" t="inlineStr">
        <is>
          <t xml:space="preserve">-</t>
        </is>
      </c>
      <c r="J372" s="4">
        <v>0.165</v>
      </c>
    </row>
    <row r="373">
      <c r="A373" s="5" t="inlineStr">
        <is>
          <t xml:space="preserve">BPTM-55-26S075016</t>
        </is>
      </c>
      <c r="B373" s="6" t="inlineStr">
        <is>
          <t xml:space="preserve">BPTM-55-26S075016</t>
        </is>
      </c>
      <c r="C373" s="6" t="inlineStr">
        <is>
          <t xml:space="preserve">AHL3NVDRX7_1</t>
        </is>
      </c>
      <c r="D373" s="15" t="inlineStr">
        <is>
          <t xml:space="preserve">W372_TP53_E04_04</t>
        </is>
      </c>
      <c r="E373" s="2">
        <v>12562</v>
      </c>
      <c r="F373" s="16" t="inlineStr">
        <is>
          <t xml:space="preserve">+</t>
        </is>
      </c>
      <c r="G373" s="4">
        <v>1.562</v>
      </c>
      <c r="H373" s="2">
        <v>7762</v>
      </c>
      <c r="I373" s="8" t="inlineStr">
        <is>
          <t xml:space="preserve">+</t>
        </is>
      </c>
      <c r="J373" s="4">
        <v>1.465</v>
      </c>
    </row>
    <row r="374">
      <c r="A374" s="5" t="inlineStr">
        <is>
          <t xml:space="preserve">BPTM-55-26S075016</t>
        </is>
      </c>
      <c r="B374" s="6" t="inlineStr">
        <is>
          <t xml:space="preserve">BPTM-55-26S075016</t>
        </is>
      </c>
      <c r="C374" s="6" t="inlineStr">
        <is>
          <t xml:space="preserve">AHL3NVDRX7_1</t>
        </is>
      </c>
      <c r="D374" s="15" t="inlineStr">
        <is>
          <t xml:space="preserve">W373_TP53_E03_01</t>
        </is>
      </c>
      <c r="E374" s="2">
        <v>36595</v>
      </c>
      <c r="F374" s="16" t="inlineStr">
        <is>
          <t xml:space="preserve">+</t>
        </is>
      </c>
      <c r="G374" s="4">
        <v>4.551</v>
      </c>
      <c r="H374" s="2">
        <v>20070</v>
      </c>
      <c r="I374" s="8" t="inlineStr">
        <is>
          <t xml:space="preserve">+</t>
        </is>
      </c>
      <c r="J374" s="4">
        <v>3.789</v>
      </c>
    </row>
    <row r="375">
      <c r="A375" s="5" t="inlineStr">
        <is>
          <t xml:space="preserve">BPTM-55-26S075016</t>
        </is>
      </c>
      <c r="B375" s="6" t="inlineStr">
        <is>
          <t xml:space="preserve">BPTM-55-26S075016</t>
        </is>
      </c>
      <c r="C375" s="6" t="inlineStr">
        <is>
          <t xml:space="preserve">AHL3NVDRX7_1</t>
        </is>
      </c>
      <c r="D375" s="15" t="inlineStr">
        <is>
          <t xml:space="preserve">W374_TP53_E02_01</t>
        </is>
      </c>
      <c r="E375" s="2">
        <v>7678</v>
      </c>
      <c r="F375" s="16" t="inlineStr">
        <is>
          <t xml:space="preserve">+</t>
        </is>
      </c>
      <c r="G375" s="4">
        <v>0.955</v>
      </c>
      <c r="H375" s="2">
        <v>4768</v>
      </c>
      <c r="I375" s="8" t="inlineStr">
        <is>
          <t xml:space="preserve">+</t>
        </is>
      </c>
      <c r="J375" s="4">
        <v>0.9</v>
      </c>
    </row>
    <row r="376">
      <c r="A376" s="5" t="inlineStr">
        <is>
          <t xml:space="preserve">BPTM-55-26S075016</t>
        </is>
      </c>
      <c r="B376" s="6" t="inlineStr">
        <is>
          <t xml:space="preserve">BPTM-55-26S075016</t>
        </is>
      </c>
      <c r="C376" s="6" t="inlineStr">
        <is>
          <t xml:space="preserve">AHL3NVDRX7_1</t>
        </is>
      </c>
      <c r="D376" s="15" t="inlineStr">
        <is>
          <t xml:space="preserve">W375_BRCA1_UTR3_01</t>
        </is>
      </c>
      <c r="E376" s="2">
        <v>1793</v>
      </c>
      <c r="F376" s="16" t="inlineStr">
        <is>
          <t xml:space="preserve">+</t>
        </is>
      </c>
      <c r="G376" s="4">
        <v>0.223</v>
      </c>
      <c r="H376" s="2">
        <v>1274</v>
      </c>
      <c r="I376" s="8" t="inlineStr">
        <is>
          <t xml:space="preserve">+</t>
        </is>
      </c>
      <c r="J376" s="4">
        <v>0.24</v>
      </c>
    </row>
    <row r="377">
      <c r="A377" s="5" t="inlineStr">
        <is>
          <t xml:space="preserve">BPTM-55-26S075016</t>
        </is>
      </c>
      <c r="B377" s="6" t="inlineStr">
        <is>
          <t xml:space="preserve">BPTM-55-26S075016</t>
        </is>
      </c>
      <c r="C377" s="6" t="inlineStr">
        <is>
          <t xml:space="preserve">AHL3NVDRX7_1</t>
        </is>
      </c>
      <c r="D377" s="15" t="inlineStr">
        <is>
          <t xml:space="preserve">W376_BRCA1_UTR3_02</t>
        </is>
      </c>
      <c r="E377" s="2">
        <v>3732</v>
      </c>
      <c r="F377" s="16" t="inlineStr">
        <is>
          <t xml:space="preserve">+</t>
        </is>
      </c>
      <c r="G377" s="4">
        <v>0.464</v>
      </c>
      <c r="H377" s="2">
        <v>2688</v>
      </c>
      <c r="I377" s="8" t="inlineStr">
        <is>
          <t xml:space="preserve">+</t>
        </is>
      </c>
      <c r="J377" s="4">
        <v>0.507</v>
      </c>
    </row>
    <row r="378">
      <c r="A378" s="5" t="inlineStr">
        <is>
          <t xml:space="preserve">BPTM-55-26S075016</t>
        </is>
      </c>
      <c r="B378" s="6" t="inlineStr">
        <is>
          <t xml:space="preserve">BPTM-55-26S075016</t>
        </is>
      </c>
      <c r="C378" s="6" t="inlineStr">
        <is>
          <t xml:space="preserve">AHL3NVDRX7_1</t>
        </is>
      </c>
      <c r="D378" s="15" t="inlineStr">
        <is>
          <t xml:space="preserve">W377_BRCA1_UTR3_03</t>
        </is>
      </c>
      <c r="E378" s="2">
        <v>7727</v>
      </c>
      <c r="F378" s="16" t="inlineStr">
        <is>
          <t xml:space="preserve">+</t>
        </is>
      </c>
      <c r="G378" s="4">
        <v>0.961</v>
      </c>
      <c r="H378" s="2">
        <v>5191</v>
      </c>
      <c r="I378" s="8" t="inlineStr">
        <is>
          <t xml:space="preserve">+</t>
        </is>
      </c>
      <c r="J378" s="4">
        <v>0.98</v>
      </c>
    </row>
    <row r="379">
      <c r="A379" s="5" t="inlineStr">
        <is>
          <t xml:space="preserve">BPTM-55-26S075016</t>
        </is>
      </c>
      <c r="B379" s="6" t="inlineStr">
        <is>
          <t xml:space="preserve">BPTM-55-26S075016</t>
        </is>
      </c>
      <c r="C379" s="6" t="inlineStr">
        <is>
          <t xml:space="preserve">AHL3NVDRX7_1</t>
        </is>
      </c>
      <c r="D379" s="15" t="inlineStr">
        <is>
          <t xml:space="preserve">W378_BRCA1_UTR3_04</t>
        </is>
      </c>
      <c r="E379" s="2">
        <v>15414</v>
      </c>
      <c r="F379" s="16" t="inlineStr">
        <is>
          <t xml:space="preserve">+</t>
        </is>
      </c>
      <c r="G379" s="4">
        <v>1.917</v>
      </c>
      <c r="H379" s="2">
        <v>9397</v>
      </c>
      <c r="I379" s="8" t="inlineStr">
        <is>
          <t xml:space="preserve">+</t>
        </is>
      </c>
      <c r="J379" s="4">
        <v>1.774</v>
      </c>
    </row>
    <row r="380">
      <c r="A380" s="5" t="inlineStr">
        <is>
          <t xml:space="preserve">BPTM-55-26S075016</t>
        </is>
      </c>
      <c r="B380" s="6" t="inlineStr">
        <is>
          <t xml:space="preserve">BPTM-55-26S075016</t>
        </is>
      </c>
      <c r="C380" s="6" t="inlineStr">
        <is>
          <t xml:space="preserve">AHL3NVDRX7_1</t>
        </is>
      </c>
      <c r="D380" s="15" t="inlineStr">
        <is>
          <t xml:space="preserve">W379_BRCA1_UTR3_05</t>
        </is>
      </c>
      <c r="E380" s="2">
        <v>4244</v>
      </c>
      <c r="F380" s="16" t="inlineStr">
        <is>
          <t xml:space="preserve">+</t>
        </is>
      </c>
      <c r="G380" s="4">
        <v>0.528</v>
      </c>
      <c r="H380" s="2">
        <v>2962</v>
      </c>
      <c r="I380" s="8" t="inlineStr">
        <is>
          <t xml:space="preserve">+</t>
        </is>
      </c>
      <c r="J380" s="4">
        <v>0.559</v>
      </c>
    </row>
    <row r="381">
      <c r="A381" s="5" t="inlineStr">
        <is>
          <t xml:space="preserve">BPTM-55-26S075016</t>
        </is>
      </c>
      <c r="B381" s="6" t="inlineStr">
        <is>
          <t xml:space="preserve">BPTM-55-26S075016</t>
        </is>
      </c>
      <c r="C381" s="6" t="inlineStr">
        <is>
          <t xml:space="preserve">AHL3NVDRX7_1</t>
        </is>
      </c>
      <c r="D381" s="15" t="inlineStr">
        <is>
          <t xml:space="preserve">W380_BRCA1_E24_01</t>
        </is>
      </c>
      <c r="E381" s="2">
        <v>6988</v>
      </c>
      <c r="F381" s="16" t="inlineStr">
        <is>
          <t xml:space="preserve">+</t>
        </is>
      </c>
      <c r="G381" s="4">
        <v>0.869</v>
      </c>
      <c r="H381" s="2">
        <v>4355</v>
      </c>
      <c r="I381" s="8" t="inlineStr">
        <is>
          <t xml:space="preserve">+</t>
        </is>
      </c>
      <c r="J381" s="4">
        <v>0.822</v>
      </c>
    </row>
    <row r="382">
      <c r="A382" s="5" t="inlineStr">
        <is>
          <t xml:space="preserve">BPTM-55-26S075016</t>
        </is>
      </c>
      <c r="B382" s="6" t="inlineStr">
        <is>
          <t xml:space="preserve">BPTM-55-26S075016</t>
        </is>
      </c>
      <c r="C382" s="6" t="inlineStr">
        <is>
          <t xml:space="preserve">AHL3NVDRX7_1</t>
        </is>
      </c>
      <c r="D382" s="15" t="inlineStr">
        <is>
          <t xml:space="preserve">W381_BRCA1_E24_02</t>
        </is>
      </c>
      <c r="E382" s="2">
        <v>21881</v>
      </c>
      <c r="F382" s="16" t="inlineStr">
        <is>
          <t xml:space="preserve">+</t>
        </is>
      </c>
      <c r="G382" s="4">
        <v>2.721</v>
      </c>
      <c r="H382" s="2">
        <v>12360</v>
      </c>
      <c r="I382" s="8" t="inlineStr">
        <is>
          <t xml:space="preserve">+</t>
        </is>
      </c>
      <c r="J382" s="4">
        <v>2.333</v>
      </c>
    </row>
    <row r="383">
      <c r="A383" s="5" t="inlineStr">
        <is>
          <t xml:space="preserve">BPTM-55-26S075016</t>
        </is>
      </c>
      <c r="B383" s="6" t="inlineStr">
        <is>
          <t xml:space="preserve">BPTM-55-26S075016</t>
        </is>
      </c>
      <c r="C383" s="6" t="inlineStr">
        <is>
          <t xml:space="preserve">AHL3NVDRX7_1</t>
        </is>
      </c>
      <c r="D383" s="15" t="inlineStr">
        <is>
          <t xml:space="preserve">W382_BRCA1_E24_03</t>
        </is>
      </c>
      <c r="E383" s="2">
        <v>31499</v>
      </c>
      <c r="F383" s="16" t="inlineStr">
        <is>
          <t xml:space="preserve">+</t>
        </is>
      </c>
      <c r="G383" s="4">
        <v>3.917</v>
      </c>
      <c r="H383" s="2">
        <v>17934</v>
      </c>
      <c r="I383" s="8" t="inlineStr">
        <is>
          <t xml:space="preserve">+</t>
        </is>
      </c>
      <c r="J383" s="4">
        <v>3.385</v>
      </c>
    </row>
    <row r="384">
      <c r="A384" s="5" t="inlineStr">
        <is>
          <t xml:space="preserve">BPTM-55-26S075016</t>
        </is>
      </c>
      <c r="B384" s="6" t="inlineStr">
        <is>
          <t xml:space="preserve">BPTM-55-26S075016</t>
        </is>
      </c>
      <c r="C384" s="6" t="inlineStr">
        <is>
          <t xml:space="preserve">AHL3NVDRX7_1</t>
        </is>
      </c>
      <c r="D384" s="15" t="inlineStr">
        <is>
          <t xml:space="preserve">W383_BRCA1_E23_01</t>
        </is>
      </c>
      <c r="E384" s="2">
        <v>18560</v>
      </c>
      <c r="F384" s="16" t="inlineStr">
        <is>
          <t xml:space="preserve">+</t>
        </is>
      </c>
      <c r="G384" s="4">
        <v>2.308</v>
      </c>
      <c r="H384" s="2">
        <v>10304</v>
      </c>
      <c r="I384" s="8" t="inlineStr">
        <is>
          <t xml:space="preserve">+</t>
        </is>
      </c>
      <c r="J384" s="4">
        <v>1.945</v>
      </c>
    </row>
    <row r="385">
      <c r="A385" s="5" t="inlineStr">
        <is>
          <t xml:space="preserve">BPTM-55-26S075016</t>
        </is>
      </c>
      <c r="B385" s="6" t="inlineStr">
        <is>
          <t xml:space="preserve">BPTM-55-26S075016</t>
        </is>
      </c>
      <c r="C385" s="6" t="inlineStr">
        <is>
          <t xml:space="preserve">AHL3NVDRX7_1</t>
        </is>
      </c>
      <c r="D385" s="15" t="inlineStr">
        <is>
          <t xml:space="preserve">W384_BRCA1_E23_02</t>
        </is>
      </c>
      <c r="E385" s="2">
        <v>25526</v>
      </c>
      <c r="F385" s="16" t="inlineStr">
        <is>
          <t xml:space="preserve">+</t>
        </is>
      </c>
      <c r="G385" s="4">
        <v>3.174</v>
      </c>
      <c r="H385" s="2">
        <v>13925</v>
      </c>
      <c r="I385" s="8" t="inlineStr">
        <is>
          <t xml:space="preserve">+</t>
        </is>
      </c>
      <c r="J385" s="4">
        <v>2.629</v>
      </c>
    </row>
    <row r="386">
      <c r="A386" s="5" t="inlineStr">
        <is>
          <t xml:space="preserve">BPTM-55-26S075016</t>
        </is>
      </c>
      <c r="B386" s="6" t="inlineStr">
        <is>
          <t xml:space="preserve">BPTM-55-26S075016</t>
        </is>
      </c>
      <c r="C386" s="6" t="inlineStr">
        <is>
          <t xml:space="preserve">AHL3NVDRX7_1</t>
        </is>
      </c>
      <c r="D386" s="15" t="inlineStr">
        <is>
          <t xml:space="preserve">W385_BRCA1_E22_01</t>
        </is>
      </c>
      <c r="E386" s="2">
        <v>15577</v>
      </c>
      <c r="F386" s="16" t="inlineStr">
        <is>
          <t xml:space="preserve">+</t>
        </is>
      </c>
      <c r="G386" s="4">
        <v>1.937</v>
      </c>
      <c r="H386" s="2">
        <v>9046</v>
      </c>
      <c r="I386" s="8" t="inlineStr">
        <is>
          <t xml:space="preserve">+</t>
        </is>
      </c>
      <c r="J386" s="4">
        <v>1.708</v>
      </c>
    </row>
    <row r="387">
      <c r="A387" s="5" t="inlineStr">
        <is>
          <t xml:space="preserve">BPTM-55-26S075016</t>
        </is>
      </c>
      <c r="B387" s="6" t="inlineStr">
        <is>
          <t xml:space="preserve">BPTM-55-26S075016</t>
        </is>
      </c>
      <c r="C387" s="6" t="inlineStr">
        <is>
          <t xml:space="preserve">AHL3NVDRX7_1</t>
        </is>
      </c>
      <c r="D387" s="15" t="inlineStr">
        <is>
          <t xml:space="preserve">W386_BRCA1_E22_02</t>
        </is>
      </c>
      <c r="E387" s="2">
        <v>16792</v>
      </c>
      <c r="F387" s="16" t="inlineStr">
        <is>
          <t xml:space="preserve">+</t>
        </is>
      </c>
      <c r="G387" s="4">
        <v>2.088</v>
      </c>
      <c r="H387" s="2">
        <v>9966</v>
      </c>
      <c r="I387" s="8" t="inlineStr">
        <is>
          <t xml:space="preserve">+</t>
        </is>
      </c>
      <c r="J387" s="4">
        <v>1.881</v>
      </c>
    </row>
    <row r="388">
      <c r="A388" s="5" t="inlineStr">
        <is>
          <t xml:space="preserve">BPTM-55-26S075016</t>
        </is>
      </c>
      <c r="B388" s="6" t="inlineStr">
        <is>
          <t xml:space="preserve">BPTM-55-26S075016</t>
        </is>
      </c>
      <c r="C388" s="6" t="inlineStr">
        <is>
          <t xml:space="preserve">AHL3NVDRX7_1</t>
        </is>
      </c>
      <c r="D388" s="15" t="inlineStr">
        <is>
          <t xml:space="preserve">W387_BRCA1_E21_01</t>
        </is>
      </c>
      <c r="E388" s="2">
        <v>13852</v>
      </c>
      <c r="F388" s="16" t="inlineStr">
        <is>
          <t xml:space="preserve">+</t>
        </is>
      </c>
      <c r="G388" s="4">
        <v>1.723</v>
      </c>
      <c r="H388" s="2">
        <v>9267</v>
      </c>
      <c r="I388" s="8" t="inlineStr">
        <is>
          <t xml:space="preserve">+</t>
        </is>
      </c>
      <c r="J388" s="4">
        <v>1.749</v>
      </c>
    </row>
    <row r="389">
      <c r="A389" s="5" t="inlineStr">
        <is>
          <t xml:space="preserve">BPTM-55-26S075016</t>
        </is>
      </c>
      <c r="B389" s="6" t="inlineStr">
        <is>
          <t xml:space="preserve">BPTM-55-26S075016</t>
        </is>
      </c>
      <c r="C389" s="6" t="inlineStr">
        <is>
          <t xml:space="preserve">AHL3NVDRX7_1</t>
        </is>
      </c>
      <c r="D389" s="15" t="inlineStr">
        <is>
          <t xml:space="preserve">W388_BRCA1_E21_02</t>
        </is>
      </c>
      <c r="E389" s="2">
        <v>15698</v>
      </c>
      <c r="F389" s="16" t="inlineStr">
        <is>
          <t xml:space="preserve">+</t>
        </is>
      </c>
      <c r="G389" s="4">
        <v>1.952</v>
      </c>
      <c r="H389" s="2">
        <v>9826</v>
      </c>
      <c r="I389" s="8" t="inlineStr">
        <is>
          <t xml:space="preserve">+</t>
        </is>
      </c>
      <c r="J389" s="4">
        <v>1.855</v>
      </c>
    </row>
    <row r="390">
      <c r="A390" s="5" t="inlineStr">
        <is>
          <t xml:space="preserve">BPTM-55-26S075016</t>
        </is>
      </c>
      <c r="B390" s="6" t="inlineStr">
        <is>
          <t xml:space="preserve">BPTM-55-26S075016</t>
        </is>
      </c>
      <c r="C390" s="6" t="inlineStr">
        <is>
          <t xml:space="preserve">AHL3NVDRX7_1</t>
        </is>
      </c>
      <c r="D390" s="15" t="inlineStr">
        <is>
          <t xml:space="preserve">W389_BRCA1_E20_01</t>
        </is>
      </c>
      <c r="E390" s="2">
        <v>9564</v>
      </c>
      <c r="F390" s="16" t="inlineStr">
        <is>
          <t xml:space="preserve">+</t>
        </is>
      </c>
      <c r="G390" s="4">
        <v>1.189</v>
      </c>
      <c r="H390" s="2">
        <v>6439</v>
      </c>
      <c r="I390" s="8" t="inlineStr">
        <is>
          <t xml:space="preserve">+</t>
        </is>
      </c>
      <c r="J390" s="4">
        <v>1.215</v>
      </c>
    </row>
    <row r="391">
      <c r="A391" s="5" t="inlineStr">
        <is>
          <t xml:space="preserve">BPTM-55-26S075016</t>
        </is>
      </c>
      <c r="B391" s="6" t="inlineStr">
        <is>
          <t xml:space="preserve">BPTM-55-26S075016</t>
        </is>
      </c>
      <c r="C391" s="6" t="inlineStr">
        <is>
          <t xml:space="preserve">AHL3NVDRX7_1</t>
        </is>
      </c>
      <c r="D391" s="15" t="inlineStr">
        <is>
          <t xml:space="preserve">W390_BRCA1_E20_02</t>
        </is>
      </c>
      <c r="E391" s="2">
        <v>13230</v>
      </c>
      <c r="F391" s="16" t="inlineStr">
        <is>
          <t xml:space="preserve">+</t>
        </is>
      </c>
      <c r="G391" s="4">
        <v>1.645</v>
      </c>
      <c r="H391" s="2">
        <v>8793</v>
      </c>
      <c r="I391" s="8" t="inlineStr">
        <is>
          <t xml:space="preserve">+</t>
        </is>
      </c>
      <c r="J391" s="4">
        <v>1.66</v>
      </c>
    </row>
    <row r="392">
      <c r="A392" s="5" t="inlineStr">
        <is>
          <t xml:space="preserve">BPTM-55-26S075016</t>
        </is>
      </c>
      <c r="B392" s="6" t="inlineStr">
        <is>
          <t xml:space="preserve">BPTM-55-26S075016</t>
        </is>
      </c>
      <c r="C392" s="6" t="inlineStr">
        <is>
          <t xml:space="preserve">AHL3NVDRX7_1</t>
        </is>
      </c>
      <c r="D392" s="15" t="inlineStr">
        <is>
          <t xml:space="preserve">W391_BRCA1_E20_03</t>
        </is>
      </c>
      <c r="E392" s="2">
        <v>14243</v>
      </c>
      <c r="F392" s="16" t="inlineStr">
        <is>
          <t xml:space="preserve">+</t>
        </is>
      </c>
      <c r="G392" s="4">
        <v>1.771</v>
      </c>
      <c r="H392" s="2">
        <v>8662</v>
      </c>
      <c r="I392" s="8" t="inlineStr">
        <is>
          <t xml:space="preserve">+</t>
        </is>
      </c>
      <c r="J392" s="4">
        <v>1.635</v>
      </c>
    </row>
    <row r="393">
      <c r="A393" s="5" t="inlineStr">
        <is>
          <t xml:space="preserve">BPTM-55-26S075016</t>
        </is>
      </c>
      <c r="B393" s="6" t="inlineStr">
        <is>
          <t xml:space="preserve">BPTM-55-26S075016</t>
        </is>
      </c>
      <c r="C393" s="6" t="inlineStr">
        <is>
          <t xml:space="preserve">AHL3NVDRX7_1</t>
        </is>
      </c>
      <c r="D393" s="15" t="inlineStr">
        <is>
          <t xml:space="preserve">W392_BRCA1_E19_01</t>
        </is>
      </c>
      <c r="E393" s="2">
        <v>11337</v>
      </c>
      <c r="F393" s="16" t="inlineStr">
        <is>
          <t xml:space="preserve">+</t>
        </is>
      </c>
      <c r="G393" s="4">
        <v>1.41</v>
      </c>
      <c r="H393" s="2">
        <v>7544</v>
      </c>
      <c r="I393" s="8" t="inlineStr">
        <is>
          <t xml:space="preserve">+</t>
        </is>
      </c>
      <c r="J393" s="4">
        <v>1.424</v>
      </c>
    </row>
    <row r="394">
      <c r="A394" s="5" t="inlineStr">
        <is>
          <t xml:space="preserve">BPTM-55-26S075016</t>
        </is>
      </c>
      <c r="B394" s="6" t="inlineStr">
        <is>
          <t xml:space="preserve">BPTM-55-26S075016</t>
        </is>
      </c>
      <c r="C394" s="6" t="inlineStr">
        <is>
          <t xml:space="preserve">AHL3NVDRX7_1</t>
        </is>
      </c>
      <c r="D394" s="15" t="inlineStr">
        <is>
          <t xml:space="preserve">W393_BRCA1_E19_02</t>
        </is>
      </c>
      <c r="E394" s="2">
        <v>17193</v>
      </c>
      <c r="F394" s="16" t="inlineStr">
        <is>
          <t xml:space="preserve">+</t>
        </is>
      </c>
      <c r="G394" s="4">
        <v>2.138</v>
      </c>
      <c r="H394" s="2">
        <v>10740</v>
      </c>
      <c r="I394" s="8" t="inlineStr">
        <is>
          <t xml:space="preserve">+</t>
        </is>
      </c>
      <c r="J394" s="4">
        <v>2.027</v>
      </c>
    </row>
    <row r="395">
      <c r="A395" s="5" t="inlineStr">
        <is>
          <t xml:space="preserve">BPTM-55-26S075016</t>
        </is>
      </c>
      <c r="B395" s="6" t="inlineStr">
        <is>
          <t xml:space="preserve">BPTM-55-26S075016</t>
        </is>
      </c>
      <c r="C395" s="6" t="inlineStr">
        <is>
          <t xml:space="preserve">AHL3NVDRX7_1</t>
        </is>
      </c>
      <c r="D395" s="15" t="inlineStr">
        <is>
          <t xml:space="preserve">W394_BRCA1_E18_01</t>
        </is>
      </c>
      <c r="E395" s="2">
        <v>7075</v>
      </c>
      <c r="F395" s="16" t="inlineStr">
        <is>
          <t xml:space="preserve">+</t>
        </is>
      </c>
      <c r="G395" s="4">
        <v>0.88</v>
      </c>
      <c r="H395" s="2">
        <v>4896</v>
      </c>
      <c r="I395" s="8" t="inlineStr">
        <is>
          <t xml:space="preserve">+</t>
        </is>
      </c>
      <c r="J395" s="4">
        <v>0.924</v>
      </c>
    </row>
    <row r="396">
      <c r="A396" s="5" t="inlineStr">
        <is>
          <t xml:space="preserve">BPTM-55-26S075016</t>
        </is>
      </c>
      <c r="B396" s="6" t="inlineStr">
        <is>
          <t xml:space="preserve">BPTM-55-26S075016</t>
        </is>
      </c>
      <c r="C396" s="6" t="inlineStr">
        <is>
          <t xml:space="preserve">AHL3NVDRX7_1</t>
        </is>
      </c>
      <c r="D396" s="15" t="inlineStr">
        <is>
          <t xml:space="preserve">W395_BRCA1_E18_02</t>
        </is>
      </c>
      <c r="E396" s="2">
        <v>19115</v>
      </c>
      <c r="F396" s="16" t="inlineStr">
        <is>
          <t xml:space="preserve">+</t>
        </is>
      </c>
      <c r="G396" s="4">
        <v>2.377</v>
      </c>
      <c r="H396" s="2">
        <v>12384</v>
      </c>
      <c r="I396" s="8" t="inlineStr">
        <is>
          <t xml:space="preserve">+</t>
        </is>
      </c>
      <c r="J396" s="4">
        <v>2.338</v>
      </c>
    </row>
    <row r="397">
      <c r="A397" s="5" t="inlineStr">
        <is>
          <t xml:space="preserve">BPTM-55-26S075016</t>
        </is>
      </c>
      <c r="B397" s="6" t="inlineStr">
        <is>
          <t xml:space="preserve">BPTM-55-26S075016</t>
        </is>
      </c>
      <c r="C397" s="6" t="inlineStr">
        <is>
          <t xml:space="preserve">AHL3NVDRX7_1</t>
        </is>
      </c>
      <c r="D397" s="15" t="inlineStr">
        <is>
          <t xml:space="preserve">W396_BRCA1_E17_01</t>
        </is>
      </c>
      <c r="E397" s="2">
        <v>7798</v>
      </c>
      <c r="F397" s="16" t="inlineStr">
        <is>
          <t xml:space="preserve">+</t>
        </is>
      </c>
      <c r="G397" s="4">
        <v>0.97</v>
      </c>
      <c r="H397" s="2">
        <v>5134</v>
      </c>
      <c r="I397" s="8" t="inlineStr">
        <is>
          <t xml:space="preserve">+</t>
        </is>
      </c>
      <c r="J397" s="4">
        <v>0.969</v>
      </c>
    </row>
    <row r="398">
      <c r="A398" s="5" t="inlineStr">
        <is>
          <t xml:space="preserve">BPTM-55-26S075016</t>
        </is>
      </c>
      <c r="B398" s="6" t="inlineStr">
        <is>
          <t xml:space="preserve">BPTM-55-26S075016</t>
        </is>
      </c>
      <c r="C398" s="6" t="inlineStr">
        <is>
          <t xml:space="preserve">AHL3NVDRX7_1</t>
        </is>
      </c>
      <c r="D398" s="15" t="inlineStr">
        <is>
          <t xml:space="preserve">W397_BRCA1_E17_02</t>
        </is>
      </c>
      <c r="E398" s="2">
        <v>10374</v>
      </c>
      <c r="F398" s="16" t="inlineStr">
        <is>
          <t xml:space="preserve">+</t>
        </is>
      </c>
      <c r="G398" s="4">
        <v>1.29</v>
      </c>
      <c r="H398" s="2">
        <v>6966</v>
      </c>
      <c r="I398" s="8" t="inlineStr">
        <is>
          <t xml:space="preserve">+</t>
        </is>
      </c>
      <c r="J398" s="4">
        <v>1.315</v>
      </c>
    </row>
    <row r="399">
      <c r="A399" s="5" t="inlineStr">
        <is>
          <t xml:space="preserve">BPTM-55-26S075016</t>
        </is>
      </c>
      <c r="B399" s="6" t="inlineStr">
        <is>
          <t xml:space="preserve">BPTM-55-26S075016</t>
        </is>
      </c>
      <c r="C399" s="6" t="inlineStr">
        <is>
          <t xml:space="preserve">AHL3NVDRX7_1</t>
        </is>
      </c>
      <c r="D399" s="15" t="inlineStr">
        <is>
          <t xml:space="preserve">W398_BRCA1_E16_01</t>
        </is>
      </c>
      <c r="E399" s="2">
        <v>7396</v>
      </c>
      <c r="F399" s="16" t="inlineStr">
        <is>
          <t xml:space="preserve">+</t>
        </is>
      </c>
      <c r="G399" s="4">
        <v>0.92</v>
      </c>
      <c r="H399" s="2">
        <v>4809</v>
      </c>
      <c r="I399" s="8" t="inlineStr">
        <is>
          <t xml:space="preserve">+</t>
        </is>
      </c>
      <c r="J399" s="4">
        <v>0.908</v>
      </c>
    </row>
    <row r="400">
      <c r="A400" s="5" t="inlineStr">
        <is>
          <t xml:space="preserve">BPTM-55-26S075016</t>
        </is>
      </c>
      <c r="B400" s="6" t="inlineStr">
        <is>
          <t xml:space="preserve">BPTM-55-26S075016</t>
        </is>
      </c>
      <c r="C400" s="6" t="inlineStr">
        <is>
          <t xml:space="preserve">AHL3NVDRX7_1</t>
        </is>
      </c>
      <c r="D400" s="15" t="inlineStr">
        <is>
          <t xml:space="preserve">W399_BRCA1_E16_02</t>
        </is>
      </c>
      <c r="E400" s="2">
        <v>13442</v>
      </c>
      <c r="F400" s="16" t="inlineStr">
        <is>
          <t xml:space="preserve">+</t>
        </is>
      </c>
      <c r="G400" s="4">
        <v>1.672</v>
      </c>
      <c r="H400" s="2">
        <v>8607</v>
      </c>
      <c r="I400" s="8" t="inlineStr">
        <is>
          <t xml:space="preserve">+</t>
        </is>
      </c>
      <c r="J400" s="4">
        <v>1.625</v>
      </c>
    </row>
    <row r="401">
      <c r="A401" s="5" t="inlineStr">
        <is>
          <t xml:space="preserve">BPTM-55-26S075016</t>
        </is>
      </c>
      <c r="B401" s="6" t="inlineStr">
        <is>
          <t xml:space="preserve">BPTM-55-26S075016</t>
        </is>
      </c>
      <c r="C401" s="6" t="inlineStr">
        <is>
          <t xml:space="preserve">AHL3NVDRX7_1</t>
        </is>
      </c>
      <c r="D401" s="15" t="inlineStr">
        <is>
          <t xml:space="preserve">W400_BRCA1_E16_03</t>
        </is>
      </c>
      <c r="E401" s="2">
        <v>13445</v>
      </c>
      <c r="F401" s="16" t="inlineStr">
        <is>
          <t xml:space="preserve">+</t>
        </is>
      </c>
      <c r="G401" s="4">
        <v>1.672</v>
      </c>
      <c r="H401" s="2">
        <v>8494</v>
      </c>
      <c r="I401" s="8" t="inlineStr">
        <is>
          <t xml:space="preserve">+</t>
        </is>
      </c>
      <c r="J401" s="4">
        <v>1.603</v>
      </c>
    </row>
    <row r="402">
      <c r="A402" s="5" t="inlineStr">
        <is>
          <t xml:space="preserve">BPTM-55-26S075016</t>
        </is>
      </c>
      <c r="B402" s="6" t="inlineStr">
        <is>
          <t xml:space="preserve">BPTM-55-26S075016</t>
        </is>
      </c>
      <c r="C402" s="6" t="inlineStr">
        <is>
          <t xml:space="preserve">AHL3NVDRX7_1</t>
        </is>
      </c>
      <c r="D402" s="15" t="inlineStr">
        <is>
          <t xml:space="preserve">W401_BRCA1_E16_04</t>
        </is>
      </c>
      <c r="E402" s="2">
        <v>2788</v>
      </c>
      <c r="F402" s="16" t="inlineStr">
        <is>
          <t xml:space="preserve">+</t>
        </is>
      </c>
      <c r="G402" s="4">
        <v>0.347</v>
      </c>
      <c r="H402" s="2">
        <v>1981</v>
      </c>
      <c r="I402" s="8" t="inlineStr">
        <is>
          <t xml:space="preserve">+</t>
        </is>
      </c>
      <c r="J402" s="4">
        <v>0.374</v>
      </c>
    </row>
    <row r="403">
      <c r="A403" s="5" t="inlineStr">
        <is>
          <t xml:space="preserve">BPTM-55-26S075016</t>
        </is>
      </c>
      <c r="B403" s="6" t="inlineStr">
        <is>
          <t xml:space="preserve">BPTM-55-26S075016</t>
        </is>
      </c>
      <c r="C403" s="6" t="inlineStr">
        <is>
          <t xml:space="preserve">AHL3NVDRX7_1</t>
        </is>
      </c>
      <c r="D403" s="15" t="inlineStr">
        <is>
          <t xml:space="preserve">W402_BRCA1_E15_01</t>
        </is>
      </c>
      <c r="E403" s="2">
        <v>4846</v>
      </c>
      <c r="F403" s="16" t="inlineStr">
        <is>
          <t xml:space="preserve">+</t>
        </is>
      </c>
      <c r="G403" s="4">
        <v>0.603</v>
      </c>
      <c r="H403" s="2">
        <v>2903</v>
      </c>
      <c r="I403" s="8" t="inlineStr">
        <is>
          <t xml:space="preserve">+</t>
        </is>
      </c>
      <c r="J403" s="4">
        <v>0.548</v>
      </c>
    </row>
    <row r="404">
      <c r="A404" s="5" t="inlineStr">
        <is>
          <t xml:space="preserve">BPTM-55-26S075016</t>
        </is>
      </c>
      <c r="B404" s="6" t="inlineStr">
        <is>
          <t xml:space="preserve">BPTM-55-26S075016</t>
        </is>
      </c>
      <c r="C404" s="6" t="inlineStr">
        <is>
          <t xml:space="preserve">AHL3NVDRX7_1</t>
        </is>
      </c>
      <c r="D404" s="15" t="inlineStr">
        <is>
          <t xml:space="preserve">W403_BRCA1_E15_02</t>
        </is>
      </c>
      <c r="E404" s="2">
        <v>16133</v>
      </c>
      <c r="F404" s="16" t="inlineStr">
        <is>
          <t xml:space="preserve">+</t>
        </is>
      </c>
      <c r="G404" s="4">
        <v>2.006</v>
      </c>
      <c r="H404" s="2">
        <v>9890</v>
      </c>
      <c r="I404" s="8" t="inlineStr">
        <is>
          <t xml:space="preserve">+</t>
        </is>
      </c>
      <c r="J404" s="4">
        <v>1.867</v>
      </c>
    </row>
    <row r="405">
      <c r="A405" s="5" t="inlineStr">
        <is>
          <t xml:space="preserve">BPTM-55-26S075016</t>
        </is>
      </c>
      <c r="B405" s="6" t="inlineStr">
        <is>
          <t xml:space="preserve">BPTM-55-26S075016</t>
        </is>
      </c>
      <c r="C405" s="6" t="inlineStr">
        <is>
          <t xml:space="preserve">AHL3NVDRX7_1</t>
        </is>
      </c>
      <c r="D405" s="15" t="inlineStr">
        <is>
          <t xml:space="preserve">W404_BRCA1_E15_03</t>
        </is>
      </c>
      <c r="E405" s="2">
        <v>8670</v>
      </c>
      <c r="F405" s="16" t="inlineStr">
        <is>
          <t xml:space="preserve">+</t>
        </is>
      </c>
      <c r="G405" s="4">
        <v>1.078</v>
      </c>
      <c r="H405" s="2">
        <v>5779</v>
      </c>
      <c r="I405" s="8" t="inlineStr">
        <is>
          <t xml:space="preserve">+</t>
        </is>
      </c>
      <c r="J405" s="4">
        <v>1.091</v>
      </c>
    </row>
    <row r="406">
      <c r="A406" s="5" t="inlineStr">
        <is>
          <t xml:space="preserve">BPTM-55-26S075016</t>
        </is>
      </c>
      <c r="B406" s="6" t="inlineStr">
        <is>
          <t xml:space="preserve">BPTM-55-26S075016</t>
        </is>
      </c>
      <c r="C406" s="6" t="inlineStr">
        <is>
          <t xml:space="preserve">AHL3NVDRX7_1</t>
        </is>
      </c>
      <c r="D406" s="15" t="inlineStr">
        <is>
          <t xml:space="preserve">W405_BRCA1_E14_01</t>
        </is>
      </c>
      <c r="E406" s="2">
        <v>15186</v>
      </c>
      <c r="F406" s="16" t="inlineStr">
        <is>
          <t xml:space="preserve">+</t>
        </is>
      </c>
      <c r="G406" s="4">
        <v>1.888</v>
      </c>
      <c r="H406" s="2">
        <v>9833</v>
      </c>
      <c r="I406" s="8" t="inlineStr">
        <is>
          <t xml:space="preserve">+</t>
        </is>
      </c>
      <c r="J406" s="4">
        <v>1.856</v>
      </c>
    </row>
    <row r="407">
      <c r="A407" s="5" t="inlineStr">
        <is>
          <t xml:space="preserve">BPTM-55-26S075016</t>
        </is>
      </c>
      <c r="B407" s="6" t="inlineStr">
        <is>
          <t xml:space="preserve">BPTM-55-26S075016</t>
        </is>
      </c>
      <c r="C407" s="6" t="inlineStr">
        <is>
          <t xml:space="preserve">AHL3NVDRX7_1</t>
        </is>
      </c>
      <c r="D407" s="15" t="inlineStr">
        <is>
          <t xml:space="preserve">W406_BRCA1_E14_02</t>
        </is>
      </c>
      <c r="E407" s="2">
        <v>4202</v>
      </c>
      <c r="F407" s="16" t="inlineStr">
        <is>
          <t xml:space="preserve">+</t>
        </is>
      </c>
      <c r="G407" s="4">
        <v>0.523</v>
      </c>
      <c r="H407" s="2">
        <v>2974</v>
      </c>
      <c r="I407" s="8" t="inlineStr">
        <is>
          <t xml:space="preserve">+</t>
        </is>
      </c>
      <c r="J407" s="4">
        <v>0.561</v>
      </c>
    </row>
    <row r="408">
      <c r="A408" s="5" t="inlineStr">
        <is>
          <t xml:space="preserve">BPTM-55-26S075016</t>
        </is>
      </c>
      <c r="B408" s="6" t="inlineStr">
        <is>
          <t xml:space="preserve">BPTM-55-26S075016</t>
        </is>
      </c>
      <c r="C408" s="6" t="inlineStr">
        <is>
          <t xml:space="preserve">AHL3NVDRX7_1</t>
        </is>
      </c>
      <c r="D408" s="15" t="inlineStr">
        <is>
          <t xml:space="preserve">W407_BRCA1_E13_01</t>
        </is>
      </c>
      <c r="E408" s="2">
        <v>10535</v>
      </c>
      <c r="F408" s="16" t="inlineStr">
        <is>
          <t xml:space="preserve">+</t>
        </is>
      </c>
      <c r="G408" s="4">
        <v>1.31</v>
      </c>
      <c r="H408" s="2">
        <v>6764</v>
      </c>
      <c r="I408" s="8" t="inlineStr">
        <is>
          <t xml:space="preserve">+</t>
        </is>
      </c>
      <c r="J408" s="4">
        <v>1.277</v>
      </c>
    </row>
    <row r="409">
      <c r="A409" s="5" t="inlineStr">
        <is>
          <t xml:space="preserve">BPTM-55-26S075016</t>
        </is>
      </c>
      <c r="B409" s="6" t="inlineStr">
        <is>
          <t xml:space="preserve">BPTM-55-26S075016</t>
        </is>
      </c>
      <c r="C409" s="6" t="inlineStr">
        <is>
          <t xml:space="preserve">AHL3NVDRX7_1</t>
        </is>
      </c>
      <c r="D409" s="15" t="inlineStr">
        <is>
          <t xml:space="preserve">W408_BRCA1_E13_02</t>
        </is>
      </c>
      <c r="E409" s="2">
        <v>9896</v>
      </c>
      <c r="F409" s="16" t="inlineStr">
        <is>
          <t xml:space="preserve">+</t>
        </is>
      </c>
      <c r="G409" s="4">
        <v>1.231</v>
      </c>
      <c r="H409" s="2">
        <v>6110</v>
      </c>
      <c r="I409" s="8" t="inlineStr">
        <is>
          <t xml:space="preserve">+</t>
        </is>
      </c>
      <c r="J409" s="4">
        <v>1.153</v>
      </c>
    </row>
    <row r="410">
      <c r="A410" s="5" t="inlineStr">
        <is>
          <t xml:space="preserve">BPTM-55-26S075016</t>
        </is>
      </c>
      <c r="B410" s="6" t="inlineStr">
        <is>
          <t xml:space="preserve">BPTM-55-26S075016</t>
        </is>
      </c>
      <c r="C410" s="6" t="inlineStr">
        <is>
          <t xml:space="preserve">AHL3NVDRX7_1</t>
        </is>
      </c>
      <c r="D410" s="15" t="inlineStr">
        <is>
          <t xml:space="preserve">W409_BRCA1_E13_03</t>
        </is>
      </c>
      <c r="E410" s="2">
        <v>14152</v>
      </c>
      <c r="F410" s="16" t="inlineStr">
        <is>
          <t xml:space="preserve">+</t>
        </is>
      </c>
      <c r="G410" s="4">
        <v>1.76</v>
      </c>
      <c r="H410" s="2">
        <v>9434</v>
      </c>
      <c r="I410" s="8" t="inlineStr">
        <is>
          <t xml:space="preserve">+</t>
        </is>
      </c>
      <c r="J410" s="4">
        <v>1.781</v>
      </c>
    </row>
    <row r="411">
      <c r="A411" s="5" t="inlineStr">
        <is>
          <t xml:space="preserve">BPTM-55-26S075016</t>
        </is>
      </c>
      <c r="B411" s="6" t="inlineStr">
        <is>
          <t xml:space="preserve">BPTM-55-26S075016</t>
        </is>
      </c>
      <c r="C411" s="6" t="inlineStr">
        <is>
          <t xml:space="preserve">AHL3NVDRX7_1</t>
        </is>
      </c>
      <c r="D411" s="15" t="inlineStr">
        <is>
          <t xml:space="preserve">W410_BRCA1_I12_01</t>
        </is>
      </c>
      <c r="E411" s="2">
        <v>14256</v>
      </c>
      <c r="F411" s="16" t="inlineStr">
        <is>
          <t xml:space="preserve">+</t>
        </is>
      </c>
      <c r="G411" s="4">
        <v>1.773</v>
      </c>
      <c r="H411" s="2">
        <v>9578</v>
      </c>
      <c r="I411" s="8" t="inlineStr">
        <is>
          <t xml:space="preserve">+</t>
        </is>
      </c>
      <c r="J411" s="4">
        <v>1.808</v>
      </c>
    </row>
    <row r="412">
      <c r="A412" s="5" t="inlineStr">
        <is>
          <t xml:space="preserve">BPTM-55-26S075016</t>
        </is>
      </c>
      <c r="B412" s="6" t="inlineStr">
        <is>
          <t xml:space="preserve">BPTM-55-26S075016</t>
        </is>
      </c>
      <c r="C412" s="6" t="inlineStr">
        <is>
          <t xml:space="preserve">AHL3NVDRX7_1</t>
        </is>
      </c>
      <c r="D412" s="15" t="inlineStr">
        <is>
          <t xml:space="preserve">W411_BRCA1_E12_01</t>
        </is>
      </c>
      <c r="E412" s="2">
        <v>30160</v>
      </c>
      <c r="F412" s="16" t="inlineStr">
        <is>
          <t xml:space="preserve">+</t>
        </is>
      </c>
      <c r="G412" s="4">
        <v>3.751</v>
      </c>
      <c r="H412" s="2">
        <v>16956</v>
      </c>
      <c r="I412" s="8" t="inlineStr">
        <is>
          <t xml:space="preserve">+</t>
        </is>
      </c>
      <c r="J412" s="4">
        <v>3.201</v>
      </c>
    </row>
    <row r="413">
      <c r="A413" s="5" t="inlineStr">
        <is>
          <t xml:space="preserve">BPTM-55-26S075016</t>
        </is>
      </c>
      <c r="B413" s="6" t="inlineStr">
        <is>
          <t xml:space="preserve">BPTM-55-26S075016</t>
        </is>
      </c>
      <c r="C413" s="6" t="inlineStr">
        <is>
          <t xml:space="preserve">AHL3NVDRX7_1</t>
        </is>
      </c>
      <c r="D413" s="15" t="inlineStr">
        <is>
          <t xml:space="preserve">W412_BRCA1_E12_02</t>
        </is>
      </c>
      <c r="E413" s="2">
        <v>16000</v>
      </c>
      <c r="F413" s="16" t="inlineStr">
        <is>
          <t xml:space="preserve">+</t>
        </is>
      </c>
      <c r="G413" s="4">
        <v>1.99</v>
      </c>
      <c r="H413" s="2">
        <v>10520</v>
      </c>
      <c r="I413" s="8" t="inlineStr">
        <is>
          <t xml:space="preserve">+</t>
        </is>
      </c>
      <c r="J413" s="4">
        <v>1.986</v>
      </c>
    </row>
    <row r="414">
      <c r="A414" s="5" t="inlineStr">
        <is>
          <t xml:space="preserve">BPTM-55-26S075016</t>
        </is>
      </c>
      <c r="B414" s="6" t="inlineStr">
        <is>
          <t xml:space="preserve">BPTM-55-26S075016</t>
        </is>
      </c>
      <c r="C414" s="6" t="inlineStr">
        <is>
          <t xml:space="preserve">AHL3NVDRX7_1</t>
        </is>
      </c>
      <c r="D414" s="15" t="inlineStr">
        <is>
          <t xml:space="preserve">W413_BRCA1_E11_01</t>
        </is>
      </c>
      <c r="E414" s="2">
        <v>3297</v>
      </c>
      <c r="F414" s="16" t="inlineStr">
        <is>
          <t xml:space="preserve">+</t>
        </is>
      </c>
      <c r="G414" s="4">
        <v>0.41</v>
      </c>
      <c r="H414" s="2">
        <v>2320</v>
      </c>
      <c r="I414" s="8" t="inlineStr">
        <is>
          <t xml:space="preserve">+</t>
        </is>
      </c>
      <c r="J414" s="4">
        <v>0.438</v>
      </c>
    </row>
    <row r="415">
      <c r="A415" s="5" t="inlineStr">
        <is>
          <t xml:space="preserve">BPTM-55-26S075016</t>
        </is>
      </c>
      <c r="B415" s="6" t="inlineStr">
        <is>
          <t xml:space="preserve">BPTM-55-26S075016</t>
        </is>
      </c>
      <c r="C415" s="6" t="inlineStr">
        <is>
          <t xml:space="preserve">AHL3NVDRX7_1</t>
        </is>
      </c>
      <c r="D415" s="15" t="inlineStr">
        <is>
          <t xml:space="preserve">W414_BRCA1_E11_02</t>
        </is>
      </c>
      <c r="E415" s="2">
        <v>7330</v>
      </c>
      <c r="F415" s="16" t="inlineStr">
        <is>
          <t xml:space="preserve">+</t>
        </is>
      </c>
      <c r="G415" s="4">
        <v>0.912</v>
      </c>
      <c r="H415" s="2">
        <v>5030</v>
      </c>
      <c r="I415" s="8" t="inlineStr">
        <is>
          <t xml:space="preserve">+</t>
        </is>
      </c>
      <c r="J415" s="4">
        <v>0.95</v>
      </c>
    </row>
    <row r="416">
      <c r="A416" s="5" t="inlineStr">
        <is>
          <t xml:space="preserve">BPTM-55-26S075016</t>
        </is>
      </c>
      <c r="B416" s="6" t="inlineStr">
        <is>
          <t xml:space="preserve">BPTM-55-26S075016</t>
        </is>
      </c>
      <c r="C416" s="6" t="inlineStr">
        <is>
          <t xml:space="preserve">AHL3NVDRX7_1</t>
        </is>
      </c>
      <c r="D416" s="15" t="inlineStr">
        <is>
          <t xml:space="preserve">W415_BRCA1_E11_03</t>
        </is>
      </c>
      <c r="E416" s="2">
        <v>5388</v>
      </c>
      <c r="F416" s="16" t="inlineStr">
        <is>
          <t xml:space="preserve">+</t>
        </is>
      </c>
      <c r="G416" s="4">
        <v>0.67</v>
      </c>
      <c r="H416" s="2">
        <v>3602</v>
      </c>
      <c r="I416" s="8" t="inlineStr">
        <is>
          <t xml:space="preserve">+</t>
        </is>
      </c>
      <c r="J416" s="4">
        <v>0.68</v>
      </c>
    </row>
    <row r="417">
      <c r="A417" s="5" t="inlineStr">
        <is>
          <t xml:space="preserve">BPTM-55-26S075016</t>
        </is>
      </c>
      <c r="B417" s="6" t="inlineStr">
        <is>
          <t xml:space="preserve">BPTM-55-26S075016</t>
        </is>
      </c>
      <c r="C417" s="6" t="inlineStr">
        <is>
          <t xml:space="preserve">AHL3NVDRX7_1</t>
        </is>
      </c>
      <c r="D417" s="15" t="inlineStr">
        <is>
          <t xml:space="preserve">W416_BRCA1_E11_04</t>
        </is>
      </c>
      <c r="E417" s="2">
        <v>5794</v>
      </c>
      <c r="F417" s="16" t="inlineStr">
        <is>
          <t xml:space="preserve">+</t>
        </is>
      </c>
      <c r="G417" s="4">
        <v>0.721</v>
      </c>
      <c r="H417" s="2">
        <v>4098</v>
      </c>
      <c r="I417" s="8" t="inlineStr">
        <is>
          <t xml:space="preserve">+</t>
        </is>
      </c>
      <c r="J417" s="4">
        <v>0.774</v>
      </c>
    </row>
    <row r="418">
      <c r="A418" s="5" t="inlineStr">
        <is>
          <t xml:space="preserve">BPTM-55-26S075016</t>
        </is>
      </c>
      <c r="B418" s="6" t="inlineStr">
        <is>
          <t xml:space="preserve">BPTM-55-26S075016</t>
        </is>
      </c>
      <c r="C418" s="6" t="inlineStr">
        <is>
          <t xml:space="preserve">AHL3NVDRX7_1</t>
        </is>
      </c>
      <c r="D418" s="15" t="inlineStr">
        <is>
          <t xml:space="preserve">W417_BRCA1_E11_05</t>
        </is>
      </c>
      <c r="E418" s="2">
        <v>4118</v>
      </c>
      <c r="F418" s="16" t="inlineStr">
        <is>
          <t xml:space="preserve">+</t>
        </is>
      </c>
      <c r="G418" s="4">
        <v>0.512</v>
      </c>
      <c r="H418" s="2">
        <v>2939</v>
      </c>
      <c r="I418" s="8" t="inlineStr">
        <is>
          <t xml:space="preserve">+</t>
        </is>
      </c>
      <c r="J418" s="4">
        <v>0.555</v>
      </c>
    </row>
    <row r="419">
      <c r="A419" s="5" t="inlineStr">
        <is>
          <t xml:space="preserve">BPTM-55-26S075016</t>
        </is>
      </c>
      <c r="B419" s="6" t="inlineStr">
        <is>
          <t xml:space="preserve">BPTM-55-26S075016</t>
        </is>
      </c>
      <c r="C419" s="6" t="inlineStr">
        <is>
          <t xml:space="preserve">AHL3NVDRX7_1</t>
        </is>
      </c>
      <c r="D419" s="15" t="inlineStr">
        <is>
          <t xml:space="preserve">W418_BRCA1_E11_06</t>
        </is>
      </c>
      <c r="E419" s="2">
        <v>9941</v>
      </c>
      <c r="F419" s="16" t="inlineStr">
        <is>
          <t xml:space="preserve">+</t>
        </is>
      </c>
      <c r="G419" s="4">
        <v>1.236</v>
      </c>
      <c r="H419" s="2">
        <v>7063</v>
      </c>
      <c r="I419" s="8" t="inlineStr">
        <is>
          <t xml:space="preserve">+</t>
        </is>
      </c>
      <c r="J419" s="4">
        <v>1.333</v>
      </c>
    </row>
    <row r="420">
      <c r="A420" s="5" t="inlineStr">
        <is>
          <t xml:space="preserve">BPTM-55-26S075016</t>
        </is>
      </c>
      <c r="B420" s="6" t="inlineStr">
        <is>
          <t xml:space="preserve">BPTM-55-26S075016</t>
        </is>
      </c>
      <c r="C420" s="6" t="inlineStr">
        <is>
          <t xml:space="preserve">AHL3NVDRX7_1</t>
        </is>
      </c>
      <c r="D420" s="15" t="inlineStr">
        <is>
          <t xml:space="preserve">W419_BRCA1_E11_07</t>
        </is>
      </c>
      <c r="E420" s="2">
        <v>4110</v>
      </c>
      <c r="F420" s="16" t="inlineStr">
        <is>
          <t xml:space="preserve">+</t>
        </is>
      </c>
      <c r="G420" s="4">
        <v>0.511</v>
      </c>
      <c r="H420" s="2">
        <v>2857</v>
      </c>
      <c r="I420" s="8" t="inlineStr">
        <is>
          <t xml:space="preserve">+</t>
        </is>
      </c>
      <c r="J420" s="4">
        <v>0.539</v>
      </c>
    </row>
    <row r="421">
      <c r="A421" s="5" t="inlineStr">
        <is>
          <t xml:space="preserve">BPTM-55-26S075016</t>
        </is>
      </c>
      <c r="B421" s="6" t="inlineStr">
        <is>
          <t xml:space="preserve">BPTM-55-26S075016</t>
        </is>
      </c>
      <c r="C421" s="6" t="inlineStr">
        <is>
          <t xml:space="preserve">AHL3NVDRX7_1</t>
        </is>
      </c>
      <c r="D421" s="15" t="inlineStr">
        <is>
          <t xml:space="preserve">W420_BRCA1_E11_08</t>
        </is>
      </c>
      <c r="E421" s="2">
        <v>7130</v>
      </c>
      <c r="F421" s="16" t="inlineStr">
        <is>
          <t xml:space="preserve">+</t>
        </is>
      </c>
      <c r="G421" s="4">
        <v>0.887</v>
      </c>
      <c r="H421" s="2">
        <v>4964</v>
      </c>
      <c r="I421" s="8" t="inlineStr">
        <is>
          <t xml:space="preserve">+</t>
        </is>
      </c>
      <c r="J421" s="4">
        <v>0.937</v>
      </c>
    </row>
    <row r="422">
      <c r="A422" s="5" t="inlineStr">
        <is>
          <t xml:space="preserve">BPTM-55-26S075016</t>
        </is>
      </c>
      <c r="B422" s="6" t="inlineStr">
        <is>
          <t xml:space="preserve">BPTM-55-26S075016</t>
        </is>
      </c>
      <c r="C422" s="6" t="inlineStr">
        <is>
          <t xml:space="preserve">AHL3NVDRX7_1</t>
        </is>
      </c>
      <c r="D422" s="15" t="inlineStr">
        <is>
          <t xml:space="preserve">W421_BRCA1_E11_09</t>
        </is>
      </c>
      <c r="E422" s="2">
        <v>4520</v>
      </c>
      <c r="F422" s="16" t="inlineStr">
        <is>
          <t xml:space="preserve">+</t>
        </is>
      </c>
      <c r="G422" s="4">
        <v>0.562</v>
      </c>
      <c r="H422" s="2">
        <v>3287</v>
      </c>
      <c r="I422" s="8" t="inlineStr">
        <is>
          <t xml:space="preserve">+</t>
        </is>
      </c>
      <c r="J422" s="4">
        <v>0.62</v>
      </c>
    </row>
    <row r="423">
      <c r="A423" s="5" t="inlineStr">
        <is>
          <t xml:space="preserve">BPTM-55-26S075016</t>
        </is>
      </c>
      <c r="B423" s="6" t="inlineStr">
        <is>
          <t xml:space="preserve">BPTM-55-26S075016</t>
        </is>
      </c>
      <c r="C423" s="6" t="inlineStr">
        <is>
          <t xml:space="preserve">AHL3NVDRX7_1</t>
        </is>
      </c>
      <c r="D423" s="15" t="inlineStr">
        <is>
          <t xml:space="preserve">W422_BRCA1_E11_10</t>
        </is>
      </c>
      <c r="E423" s="2">
        <v>2227</v>
      </c>
      <c r="F423" s="16" t="inlineStr">
        <is>
          <t xml:space="preserve">+</t>
        </is>
      </c>
      <c r="G423" s="4">
        <v>0.277</v>
      </c>
      <c r="H423" s="2">
        <v>1665</v>
      </c>
      <c r="I423" s="8" t="inlineStr">
        <is>
          <t xml:space="preserve">+</t>
        </is>
      </c>
      <c r="J423" s="4">
        <v>0.314</v>
      </c>
    </row>
    <row r="424">
      <c r="A424" s="5" t="inlineStr">
        <is>
          <t xml:space="preserve">BPTM-55-26S075016</t>
        </is>
      </c>
      <c r="B424" s="6" t="inlineStr">
        <is>
          <t xml:space="preserve">BPTM-55-26S075016</t>
        </is>
      </c>
      <c r="C424" s="6" t="inlineStr">
        <is>
          <t xml:space="preserve">AHL3NVDRX7_1</t>
        </is>
      </c>
      <c r="D424" s="15" t="inlineStr">
        <is>
          <t xml:space="preserve">W423_BRCA1_E11_11</t>
        </is>
      </c>
      <c r="E424" s="2">
        <v>4231</v>
      </c>
      <c r="F424" s="16" t="inlineStr">
        <is>
          <t xml:space="preserve">+</t>
        </is>
      </c>
      <c r="G424" s="4">
        <v>0.526</v>
      </c>
      <c r="H424" s="2">
        <v>2997</v>
      </c>
      <c r="I424" s="8" t="inlineStr">
        <is>
          <t xml:space="preserve">+</t>
        </is>
      </c>
      <c r="J424" s="4">
        <v>0.566</v>
      </c>
    </row>
    <row r="425">
      <c r="A425" s="5" t="inlineStr">
        <is>
          <t xml:space="preserve">BPTM-55-26S075016</t>
        </is>
      </c>
      <c r="B425" s="6" t="inlineStr">
        <is>
          <t xml:space="preserve">BPTM-55-26S075016</t>
        </is>
      </c>
      <c r="C425" s="6" t="inlineStr">
        <is>
          <t xml:space="preserve">AHL3NVDRX7_1</t>
        </is>
      </c>
      <c r="D425" s="15" t="inlineStr">
        <is>
          <t xml:space="preserve">W424_BRCA1_E11_12</t>
        </is>
      </c>
      <c r="E425" s="2">
        <v>4854</v>
      </c>
      <c r="F425" s="16" t="inlineStr">
        <is>
          <t xml:space="preserve">+</t>
        </is>
      </c>
      <c r="G425" s="4">
        <v>0.604</v>
      </c>
      <c r="H425" s="2">
        <v>3470</v>
      </c>
      <c r="I425" s="8" t="inlineStr">
        <is>
          <t xml:space="preserve">+</t>
        </is>
      </c>
      <c r="J425" s="4">
        <v>0.655</v>
      </c>
    </row>
    <row r="426">
      <c r="A426" s="5" t="inlineStr">
        <is>
          <t xml:space="preserve">BPTM-55-26S075016</t>
        </is>
      </c>
      <c r="B426" s="6" t="inlineStr">
        <is>
          <t xml:space="preserve">BPTM-55-26S075016</t>
        </is>
      </c>
      <c r="C426" s="6" t="inlineStr">
        <is>
          <t xml:space="preserve">AHL3NVDRX7_1</t>
        </is>
      </c>
      <c r="D426" s="15" t="inlineStr">
        <is>
          <t xml:space="preserve">W425_BRCA1_E11_13</t>
        </is>
      </c>
      <c r="E426" s="2">
        <v>5484</v>
      </c>
      <c r="F426" s="16" t="inlineStr">
        <is>
          <t xml:space="preserve">+</t>
        </is>
      </c>
      <c r="G426" s="4">
        <v>0.682</v>
      </c>
      <c r="H426" s="2">
        <v>3936</v>
      </c>
      <c r="I426" s="8" t="inlineStr">
        <is>
          <t xml:space="preserve">+</t>
        </is>
      </c>
      <c r="J426" s="4">
        <v>0.743</v>
      </c>
    </row>
    <row r="427">
      <c r="A427" s="5" t="inlineStr">
        <is>
          <t xml:space="preserve">BPTM-55-26S075016</t>
        </is>
      </c>
      <c r="B427" s="6" t="inlineStr">
        <is>
          <t xml:space="preserve">BPTM-55-26S075016</t>
        </is>
      </c>
      <c r="C427" s="6" t="inlineStr">
        <is>
          <t xml:space="preserve">AHL3NVDRX7_1</t>
        </is>
      </c>
      <c r="D427" s="15" t="inlineStr">
        <is>
          <t xml:space="preserve">W426_BRCA1_E11_14</t>
        </is>
      </c>
      <c r="E427" s="2">
        <v>9719</v>
      </c>
      <c r="F427" s="16" t="inlineStr">
        <is>
          <t xml:space="preserve">+</t>
        </is>
      </c>
      <c r="G427" s="4">
        <v>1.209</v>
      </c>
      <c r="H427" s="2">
        <v>6626</v>
      </c>
      <c r="I427" s="8" t="inlineStr">
        <is>
          <t xml:space="preserve">+</t>
        </is>
      </c>
      <c r="J427" s="4">
        <v>1.251</v>
      </c>
    </row>
    <row r="428">
      <c r="A428" s="5" t="inlineStr">
        <is>
          <t xml:space="preserve">BPTM-55-26S075016</t>
        </is>
      </c>
      <c r="B428" s="6" t="inlineStr">
        <is>
          <t xml:space="preserve">BPTM-55-26S075016</t>
        </is>
      </c>
      <c r="C428" s="6" t="inlineStr">
        <is>
          <t xml:space="preserve">AHL3NVDRX7_1</t>
        </is>
      </c>
      <c r="D428" s="15" t="inlineStr">
        <is>
          <t xml:space="preserve">W427_BRCA1_E11_15</t>
        </is>
      </c>
      <c r="E428" s="2">
        <v>4902</v>
      </c>
      <c r="F428" s="16" t="inlineStr">
        <is>
          <t xml:space="preserve">+</t>
        </is>
      </c>
      <c r="G428" s="4">
        <v>0.61</v>
      </c>
      <c r="H428" s="2">
        <v>3511</v>
      </c>
      <c r="I428" s="8" t="inlineStr">
        <is>
          <t xml:space="preserve">+</t>
        </is>
      </c>
      <c r="J428" s="4">
        <v>0.663</v>
      </c>
    </row>
    <row r="429">
      <c r="A429" s="5" t="inlineStr">
        <is>
          <t xml:space="preserve">BPTM-55-26S075016</t>
        </is>
      </c>
      <c r="B429" s="6" t="inlineStr">
        <is>
          <t xml:space="preserve">BPTM-55-26S075016</t>
        </is>
      </c>
      <c r="C429" s="6" t="inlineStr">
        <is>
          <t xml:space="preserve">AHL3NVDRX7_1</t>
        </is>
      </c>
      <c r="D429" s="15" t="inlineStr">
        <is>
          <t xml:space="preserve">W428_BRCA1_E11_16</t>
        </is>
      </c>
      <c r="E429" s="2">
        <v>5977</v>
      </c>
      <c r="F429" s="16" t="inlineStr">
        <is>
          <t xml:space="preserve">+</t>
        </is>
      </c>
      <c r="G429" s="4">
        <v>0.743</v>
      </c>
      <c r="H429" s="2">
        <v>4076</v>
      </c>
      <c r="I429" s="8" t="inlineStr">
        <is>
          <t xml:space="preserve">+</t>
        </is>
      </c>
      <c r="J429" s="4">
        <v>0.769</v>
      </c>
    </row>
    <row r="430">
      <c r="A430" s="5" t="inlineStr">
        <is>
          <t xml:space="preserve">BPTM-55-26S075016</t>
        </is>
      </c>
      <c r="B430" s="6" t="inlineStr">
        <is>
          <t xml:space="preserve">BPTM-55-26S075016</t>
        </is>
      </c>
      <c r="C430" s="6" t="inlineStr">
        <is>
          <t xml:space="preserve">AHL3NVDRX7_1</t>
        </is>
      </c>
      <c r="D430" s="15" t="inlineStr">
        <is>
          <t xml:space="preserve">W429_BRCA1_E11_17</t>
        </is>
      </c>
      <c r="E430" s="2">
        <v>4852</v>
      </c>
      <c r="F430" s="16" t="inlineStr">
        <is>
          <t xml:space="preserve">+</t>
        </is>
      </c>
      <c r="G430" s="4">
        <v>0.603</v>
      </c>
      <c r="H430" s="2">
        <v>3283</v>
      </c>
      <c r="I430" s="8" t="inlineStr">
        <is>
          <t xml:space="preserve">+</t>
        </is>
      </c>
      <c r="J430" s="4">
        <v>0.62</v>
      </c>
    </row>
    <row r="431">
      <c r="A431" s="5" t="inlineStr">
        <is>
          <t xml:space="preserve">BPTM-55-26S075016</t>
        </is>
      </c>
      <c r="B431" s="6" t="inlineStr">
        <is>
          <t xml:space="preserve">BPTM-55-26S075016</t>
        </is>
      </c>
      <c r="C431" s="6" t="inlineStr">
        <is>
          <t xml:space="preserve">AHL3NVDRX7_1</t>
        </is>
      </c>
      <c r="D431" s="15" t="inlineStr">
        <is>
          <t xml:space="preserve">W430_BRCA1_E11_18</t>
        </is>
      </c>
      <c r="E431" s="2">
        <v>10505</v>
      </c>
      <c r="F431" s="16" t="inlineStr">
        <is>
          <t xml:space="preserve">+</t>
        </is>
      </c>
      <c r="G431" s="4">
        <v>1.306</v>
      </c>
      <c r="H431" s="2">
        <v>6954</v>
      </c>
      <c r="I431" s="8" t="inlineStr">
        <is>
          <t xml:space="preserve">+</t>
        </is>
      </c>
      <c r="J431" s="4">
        <v>1.313</v>
      </c>
    </row>
    <row r="432">
      <c r="A432" s="5" t="inlineStr">
        <is>
          <t xml:space="preserve">BPTM-55-26S075016</t>
        </is>
      </c>
      <c r="B432" s="6" t="inlineStr">
        <is>
          <t xml:space="preserve">BPTM-55-26S075016</t>
        </is>
      </c>
      <c r="C432" s="6" t="inlineStr">
        <is>
          <t xml:space="preserve">AHL3NVDRX7_1</t>
        </is>
      </c>
      <c r="D432" s="15" t="inlineStr">
        <is>
          <t xml:space="preserve">W431_BRCA1_E11_19</t>
        </is>
      </c>
      <c r="E432" s="2">
        <v>4483</v>
      </c>
      <c r="F432" s="16" t="inlineStr">
        <is>
          <t xml:space="preserve">+</t>
        </is>
      </c>
      <c r="G432" s="4">
        <v>0.557</v>
      </c>
      <c r="H432" s="2">
        <v>3160</v>
      </c>
      <c r="I432" s="8" t="inlineStr">
        <is>
          <t xml:space="preserve">+</t>
        </is>
      </c>
      <c r="J432" s="4">
        <v>0.597</v>
      </c>
    </row>
    <row r="433">
      <c r="A433" s="5" t="inlineStr">
        <is>
          <t xml:space="preserve">BPTM-55-26S075016</t>
        </is>
      </c>
      <c r="B433" s="6" t="inlineStr">
        <is>
          <t xml:space="preserve">BPTM-55-26S075016</t>
        </is>
      </c>
      <c r="C433" s="6" t="inlineStr">
        <is>
          <t xml:space="preserve">AHL3NVDRX7_1</t>
        </is>
      </c>
      <c r="D433" s="15" t="inlineStr">
        <is>
          <t xml:space="preserve">W432_BRCA1_E11_20</t>
        </is>
      </c>
      <c r="E433" s="2">
        <v>7133</v>
      </c>
      <c r="F433" s="16" t="inlineStr">
        <is>
          <t xml:space="preserve">+</t>
        </is>
      </c>
      <c r="G433" s="4">
        <v>0.887</v>
      </c>
      <c r="H433" s="2">
        <v>5101</v>
      </c>
      <c r="I433" s="8" t="inlineStr">
        <is>
          <t xml:space="preserve">+</t>
        </is>
      </c>
      <c r="J433" s="4">
        <v>0.963</v>
      </c>
    </row>
    <row r="434">
      <c r="A434" s="5" t="inlineStr">
        <is>
          <t xml:space="preserve">BPTM-55-26S075016</t>
        </is>
      </c>
      <c r="B434" s="6" t="inlineStr">
        <is>
          <t xml:space="preserve">BPTM-55-26S075016</t>
        </is>
      </c>
      <c r="C434" s="6" t="inlineStr">
        <is>
          <t xml:space="preserve">AHL3NVDRX7_1</t>
        </is>
      </c>
      <c r="D434" s="15" t="inlineStr">
        <is>
          <t xml:space="preserve">W433_BRCA1_E11_21</t>
        </is>
      </c>
      <c r="E434" s="2">
        <v>4705</v>
      </c>
      <c r="F434" s="16" t="inlineStr">
        <is>
          <t xml:space="preserve">+</t>
        </is>
      </c>
      <c r="G434" s="4">
        <v>0.585</v>
      </c>
      <c r="H434" s="2">
        <v>3204</v>
      </c>
      <c r="I434" s="8" t="inlineStr">
        <is>
          <t xml:space="preserve">+</t>
        </is>
      </c>
      <c r="J434" s="4">
        <v>0.605</v>
      </c>
    </row>
    <row r="435">
      <c r="A435" s="5" t="inlineStr">
        <is>
          <t xml:space="preserve">BPTM-55-26S075016</t>
        </is>
      </c>
      <c r="B435" s="6" t="inlineStr">
        <is>
          <t xml:space="preserve">BPTM-55-26S075016</t>
        </is>
      </c>
      <c r="C435" s="6" t="inlineStr">
        <is>
          <t xml:space="preserve">AHL3NVDRX7_1</t>
        </is>
      </c>
      <c r="D435" s="15" t="inlineStr">
        <is>
          <t xml:space="preserve">W434_BRCA1_E11_22</t>
        </is>
      </c>
      <c r="E435" s="2">
        <v>7808</v>
      </c>
      <c r="F435" s="16" t="inlineStr">
        <is>
          <t xml:space="preserve">+</t>
        </is>
      </c>
      <c r="G435" s="4">
        <v>0.971</v>
      </c>
      <c r="H435" s="2">
        <v>5394</v>
      </c>
      <c r="I435" s="8" t="inlineStr">
        <is>
          <t xml:space="preserve">+</t>
        </is>
      </c>
      <c r="J435" s="4">
        <v>1.018</v>
      </c>
    </row>
    <row r="436">
      <c r="A436" s="5" t="inlineStr">
        <is>
          <t xml:space="preserve">BPTM-55-26S075016</t>
        </is>
      </c>
      <c r="B436" s="6" t="inlineStr">
        <is>
          <t xml:space="preserve">BPTM-55-26S075016</t>
        </is>
      </c>
      <c r="C436" s="6" t="inlineStr">
        <is>
          <t xml:space="preserve">AHL3NVDRX7_1</t>
        </is>
      </c>
      <c r="D436" s="15" t="inlineStr">
        <is>
          <t xml:space="preserve">W435_BRCA1_E11_23</t>
        </is>
      </c>
      <c r="E436" s="2">
        <v>3147</v>
      </c>
      <c r="F436" s="16" t="inlineStr">
        <is>
          <t xml:space="preserve">+</t>
        </is>
      </c>
      <c r="G436" s="4">
        <v>0.391</v>
      </c>
      <c r="H436" s="2">
        <v>2252</v>
      </c>
      <c r="I436" s="8" t="inlineStr">
        <is>
          <t xml:space="preserve">+</t>
        </is>
      </c>
      <c r="J436" s="4">
        <v>0.425</v>
      </c>
    </row>
    <row r="437">
      <c r="A437" s="5" t="inlineStr">
        <is>
          <t xml:space="preserve">BPTM-55-26S075016</t>
        </is>
      </c>
      <c r="B437" s="6" t="inlineStr">
        <is>
          <t xml:space="preserve">BPTM-55-26S075016</t>
        </is>
      </c>
      <c r="C437" s="6" t="inlineStr">
        <is>
          <t xml:space="preserve">AHL3NVDRX7_1</t>
        </is>
      </c>
      <c r="D437" s="15" t="inlineStr">
        <is>
          <t xml:space="preserve">W436_BRCA1_E11_24</t>
        </is>
      </c>
      <c r="E437" s="2">
        <v>8441</v>
      </c>
      <c r="F437" s="16" t="inlineStr">
        <is>
          <t xml:space="preserve">+</t>
        </is>
      </c>
      <c r="G437" s="4">
        <v>1.05</v>
      </c>
      <c r="H437" s="2">
        <v>5985</v>
      </c>
      <c r="I437" s="8" t="inlineStr">
        <is>
          <t xml:space="preserve">+</t>
        </is>
      </c>
      <c r="J437" s="4">
        <v>1.13</v>
      </c>
    </row>
    <row r="438">
      <c r="A438" s="5" t="inlineStr">
        <is>
          <t xml:space="preserve">BPTM-55-26S075016</t>
        </is>
      </c>
      <c r="B438" s="6" t="inlineStr">
        <is>
          <t xml:space="preserve">BPTM-55-26S075016</t>
        </is>
      </c>
      <c r="C438" s="6" t="inlineStr">
        <is>
          <t xml:space="preserve">AHL3NVDRX7_1</t>
        </is>
      </c>
      <c r="D438" s="15" t="inlineStr">
        <is>
          <t xml:space="preserve">W437_BRCA1_E11_25</t>
        </is>
      </c>
      <c r="E438" s="2">
        <v>3608</v>
      </c>
      <c r="F438" s="16" t="inlineStr">
        <is>
          <t xml:space="preserve">+</t>
        </is>
      </c>
      <c r="G438" s="4">
        <v>0.449</v>
      </c>
      <c r="H438" s="2">
        <v>2564</v>
      </c>
      <c r="I438" s="8" t="inlineStr">
        <is>
          <t xml:space="preserve">+</t>
        </is>
      </c>
      <c r="J438" s="4">
        <v>0.484</v>
      </c>
    </row>
    <row r="439">
      <c r="A439" s="5" t="inlineStr">
        <is>
          <t xml:space="preserve">BPTM-55-26S075016</t>
        </is>
      </c>
      <c r="B439" s="6" t="inlineStr">
        <is>
          <t xml:space="preserve">BPTM-55-26S075016</t>
        </is>
      </c>
      <c r="C439" s="6" t="inlineStr">
        <is>
          <t xml:space="preserve">AHL3NVDRX7_1</t>
        </is>
      </c>
      <c r="D439" s="15" t="inlineStr">
        <is>
          <t xml:space="preserve">W438_BRCA1_E11_26</t>
        </is>
      </c>
      <c r="E439" s="2">
        <v>5406</v>
      </c>
      <c r="F439" s="16" t="inlineStr">
        <is>
          <t xml:space="preserve">+</t>
        </is>
      </c>
      <c r="G439" s="4">
        <v>0.672</v>
      </c>
      <c r="H439" s="2">
        <v>3847</v>
      </c>
      <c r="I439" s="8" t="inlineStr">
        <is>
          <t xml:space="preserve">+</t>
        </is>
      </c>
      <c r="J439" s="4">
        <v>0.726</v>
      </c>
    </row>
    <row r="440">
      <c r="A440" s="5" t="inlineStr">
        <is>
          <t xml:space="preserve">BPTM-55-26S075016</t>
        </is>
      </c>
      <c r="B440" s="6" t="inlineStr">
        <is>
          <t xml:space="preserve">BPTM-55-26S075016</t>
        </is>
      </c>
      <c r="C440" s="6" t="inlineStr">
        <is>
          <t xml:space="preserve">AHL3NVDRX7_1</t>
        </is>
      </c>
      <c r="D440" s="15" t="inlineStr">
        <is>
          <t xml:space="preserve">W439_BRCA1_E11_27</t>
        </is>
      </c>
      <c r="E440" s="2">
        <v>6161</v>
      </c>
      <c r="F440" s="16" t="inlineStr">
        <is>
          <t xml:space="preserve">+</t>
        </is>
      </c>
      <c r="G440" s="4">
        <v>0.766</v>
      </c>
      <c r="H440" s="2">
        <v>4317</v>
      </c>
      <c r="I440" s="8" t="inlineStr">
        <is>
          <t xml:space="preserve">+</t>
        </is>
      </c>
      <c r="J440" s="4">
        <v>0.815</v>
      </c>
    </row>
    <row r="441">
      <c r="A441" s="5" t="inlineStr">
        <is>
          <t xml:space="preserve">BPTM-55-26S075016</t>
        </is>
      </c>
      <c r="B441" s="6" t="inlineStr">
        <is>
          <t xml:space="preserve">BPTM-55-26S075016</t>
        </is>
      </c>
      <c r="C441" s="6" t="inlineStr">
        <is>
          <t xml:space="preserve">AHL3NVDRX7_1</t>
        </is>
      </c>
      <c r="D441" s="15" t="inlineStr">
        <is>
          <t xml:space="preserve">W440_BRCA1_E11_28</t>
        </is>
      </c>
      <c r="E441" s="2">
        <v>6073</v>
      </c>
      <c r="F441" s="16" t="inlineStr">
        <is>
          <t xml:space="preserve">+</t>
        </is>
      </c>
      <c r="G441" s="4">
        <v>0.755</v>
      </c>
      <c r="H441" s="2">
        <v>4347</v>
      </c>
      <c r="I441" s="8" t="inlineStr">
        <is>
          <t xml:space="preserve">+</t>
        </is>
      </c>
      <c r="J441" s="4">
        <v>0.821</v>
      </c>
    </row>
    <row r="442">
      <c r="A442" s="5" t="inlineStr">
        <is>
          <t xml:space="preserve">BPTM-55-26S075016</t>
        </is>
      </c>
      <c r="B442" s="6" t="inlineStr">
        <is>
          <t xml:space="preserve">BPTM-55-26S075016</t>
        </is>
      </c>
      <c r="C442" s="6" t="inlineStr">
        <is>
          <t xml:space="preserve">AHL3NVDRX7_1</t>
        </is>
      </c>
      <c r="D442" s="15" t="inlineStr">
        <is>
          <t xml:space="preserve">W441_BRCA1_E11_29</t>
        </is>
      </c>
      <c r="E442" s="2">
        <v>6115</v>
      </c>
      <c r="F442" s="16" t="inlineStr">
        <is>
          <t xml:space="preserve">+</t>
        </is>
      </c>
      <c r="G442" s="4">
        <v>0.76</v>
      </c>
      <c r="H442" s="2">
        <v>4174</v>
      </c>
      <c r="I442" s="8" t="inlineStr">
        <is>
          <t xml:space="preserve">+</t>
        </is>
      </c>
      <c r="J442" s="4">
        <v>0.788</v>
      </c>
    </row>
    <row r="443">
      <c r="A443" s="5" t="inlineStr">
        <is>
          <t xml:space="preserve">BPTM-55-26S075016</t>
        </is>
      </c>
      <c r="B443" s="6" t="inlineStr">
        <is>
          <t xml:space="preserve">BPTM-55-26S075016</t>
        </is>
      </c>
      <c r="C443" s="6" t="inlineStr">
        <is>
          <t xml:space="preserve">AHL3NVDRX7_1</t>
        </is>
      </c>
      <c r="D443" s="15" t="inlineStr">
        <is>
          <t xml:space="preserve">W442_BRCA1_E11_30</t>
        </is>
      </c>
      <c r="E443" s="2">
        <v>6399</v>
      </c>
      <c r="F443" s="16" t="inlineStr">
        <is>
          <t xml:space="preserve">+</t>
        </is>
      </c>
      <c r="G443" s="4">
        <v>0.796</v>
      </c>
      <c r="H443" s="2">
        <v>4249</v>
      </c>
      <c r="I443" s="8" t="inlineStr">
        <is>
          <t xml:space="preserve">+</t>
        </is>
      </c>
      <c r="J443" s="4">
        <v>0.802</v>
      </c>
    </row>
    <row r="444">
      <c r="A444" s="5" t="inlineStr">
        <is>
          <t xml:space="preserve">BPTM-55-26S075016</t>
        </is>
      </c>
      <c r="B444" s="6" t="inlineStr">
        <is>
          <t xml:space="preserve">BPTM-55-26S075016</t>
        </is>
      </c>
      <c r="C444" s="6" t="inlineStr">
        <is>
          <t xml:space="preserve">AHL3NVDRX7_1</t>
        </is>
      </c>
      <c r="D444" s="15" t="inlineStr">
        <is>
          <t xml:space="preserve">W443_BRCA1_E11_31</t>
        </is>
      </c>
      <c r="E444" s="2">
        <v>4654</v>
      </c>
      <c r="F444" s="16" t="inlineStr">
        <is>
          <t xml:space="preserve">+</t>
        </is>
      </c>
      <c r="G444" s="4">
        <v>0.579</v>
      </c>
      <c r="H444" s="2">
        <v>3205</v>
      </c>
      <c r="I444" s="8" t="inlineStr">
        <is>
          <t xml:space="preserve">+</t>
        </is>
      </c>
      <c r="J444" s="4">
        <v>0.605</v>
      </c>
    </row>
    <row r="445">
      <c r="A445" s="5" t="inlineStr">
        <is>
          <t xml:space="preserve">BPTM-55-26S075016</t>
        </is>
      </c>
      <c r="B445" s="6" t="inlineStr">
        <is>
          <t xml:space="preserve">BPTM-55-26S075016</t>
        </is>
      </c>
      <c r="C445" s="6" t="inlineStr">
        <is>
          <t xml:space="preserve">AHL3NVDRX7_1</t>
        </is>
      </c>
      <c r="D445" s="15" t="inlineStr">
        <is>
          <t xml:space="preserve">W444_BRCA1_E11_32</t>
        </is>
      </c>
      <c r="E445" s="2">
        <v>6177</v>
      </c>
      <c r="F445" s="16" t="inlineStr">
        <is>
          <t xml:space="preserve">+</t>
        </is>
      </c>
      <c r="G445" s="4">
        <v>0.768</v>
      </c>
      <c r="H445" s="2">
        <v>4349</v>
      </c>
      <c r="I445" s="8" t="inlineStr">
        <is>
          <t xml:space="preserve">+</t>
        </is>
      </c>
      <c r="J445" s="4">
        <v>0.821</v>
      </c>
    </row>
    <row r="446">
      <c r="A446" s="5" t="inlineStr">
        <is>
          <t xml:space="preserve">BPTM-55-26S075016</t>
        </is>
      </c>
      <c r="B446" s="6" t="inlineStr">
        <is>
          <t xml:space="preserve">BPTM-55-26S075016</t>
        </is>
      </c>
      <c r="C446" s="6" t="inlineStr">
        <is>
          <t xml:space="preserve">AHL3NVDRX7_1</t>
        </is>
      </c>
      <c r="D446" s="15" t="inlineStr">
        <is>
          <t xml:space="preserve">W445_BRCA1_E11_33</t>
        </is>
      </c>
      <c r="E446" s="2">
        <v>5092</v>
      </c>
      <c r="F446" s="16" t="inlineStr">
        <is>
          <t xml:space="preserve">+</t>
        </is>
      </c>
      <c r="G446" s="4">
        <v>0.633</v>
      </c>
      <c r="H446" s="2">
        <v>3521</v>
      </c>
      <c r="I446" s="8" t="inlineStr">
        <is>
          <t xml:space="preserve">+</t>
        </is>
      </c>
      <c r="J446" s="4">
        <v>0.665</v>
      </c>
    </row>
    <row r="447">
      <c r="A447" s="5" t="inlineStr">
        <is>
          <t xml:space="preserve">BPTM-55-26S075016</t>
        </is>
      </c>
      <c r="B447" s="6" t="inlineStr">
        <is>
          <t xml:space="preserve">BPTM-55-26S075016</t>
        </is>
      </c>
      <c r="C447" s="6" t="inlineStr">
        <is>
          <t xml:space="preserve">AHL3NVDRX7_1</t>
        </is>
      </c>
      <c r="D447" s="15" t="inlineStr">
        <is>
          <t xml:space="preserve">W446_BRCA1_E11_34</t>
        </is>
      </c>
      <c r="E447" s="2">
        <v>5987</v>
      </c>
      <c r="F447" s="16" t="inlineStr">
        <is>
          <t xml:space="preserve">+</t>
        </is>
      </c>
      <c r="G447" s="4">
        <v>0.745</v>
      </c>
      <c r="H447" s="2">
        <v>4021</v>
      </c>
      <c r="I447" s="8" t="inlineStr">
        <is>
          <t xml:space="preserve">+</t>
        </is>
      </c>
      <c r="J447" s="4">
        <v>0.759</v>
      </c>
    </row>
    <row r="448">
      <c r="A448" s="5" t="inlineStr">
        <is>
          <t xml:space="preserve">BPTM-55-26S075016</t>
        </is>
      </c>
      <c r="B448" s="6" t="inlineStr">
        <is>
          <t xml:space="preserve">BPTM-55-26S075016</t>
        </is>
      </c>
      <c r="C448" s="6" t="inlineStr">
        <is>
          <t xml:space="preserve">AHL3NVDRX7_1</t>
        </is>
      </c>
      <c r="D448" s="15" t="inlineStr">
        <is>
          <t xml:space="preserve">W447_BRCA1_E11_35</t>
        </is>
      </c>
      <c r="E448" s="2">
        <v>6774</v>
      </c>
      <c r="F448" s="16" t="inlineStr">
        <is>
          <t xml:space="preserve">+</t>
        </is>
      </c>
      <c r="G448" s="4">
        <v>0.842</v>
      </c>
      <c r="H448" s="2">
        <v>4698</v>
      </c>
      <c r="I448" s="8" t="inlineStr">
        <is>
          <t xml:space="preserve">+</t>
        </is>
      </c>
      <c r="J448" s="4">
        <v>0.887</v>
      </c>
    </row>
    <row r="449">
      <c r="A449" s="5" t="inlineStr">
        <is>
          <t xml:space="preserve">BPTM-55-26S075016</t>
        </is>
      </c>
      <c r="B449" s="6" t="inlineStr">
        <is>
          <t xml:space="preserve">BPTM-55-26S075016</t>
        </is>
      </c>
      <c r="C449" s="6" t="inlineStr">
        <is>
          <t xml:space="preserve">AHL3NVDRX7_1</t>
        </is>
      </c>
      <c r="D449" s="15" t="inlineStr">
        <is>
          <t xml:space="preserve">W448_BRCA1_E10_01</t>
        </is>
      </c>
      <c r="E449" s="2">
        <v>14254</v>
      </c>
      <c r="F449" s="16" t="inlineStr">
        <is>
          <t xml:space="preserve">+</t>
        </is>
      </c>
      <c r="G449" s="4">
        <v>1.773</v>
      </c>
      <c r="H449" s="2">
        <v>9100</v>
      </c>
      <c r="I449" s="8" t="inlineStr">
        <is>
          <t xml:space="preserve">+</t>
        </is>
      </c>
      <c r="J449" s="4">
        <v>1.718</v>
      </c>
    </row>
    <row r="450">
      <c r="A450" s="5" t="inlineStr">
        <is>
          <t xml:space="preserve">BPTM-55-26S075016</t>
        </is>
      </c>
      <c r="B450" s="6" t="inlineStr">
        <is>
          <t xml:space="preserve">BPTM-55-26S075016</t>
        </is>
      </c>
      <c r="C450" s="6" t="inlineStr">
        <is>
          <t xml:space="preserve">AHL3NVDRX7_1</t>
        </is>
      </c>
      <c r="D450" s="15" t="inlineStr">
        <is>
          <t xml:space="preserve">W449_BRCA1_E10_02</t>
        </is>
      </c>
      <c r="E450" s="2">
        <v>10393</v>
      </c>
      <c r="F450" s="16" t="inlineStr">
        <is>
          <t xml:space="preserve">+</t>
        </is>
      </c>
      <c r="G450" s="4">
        <v>1.292</v>
      </c>
      <c r="H450" s="2">
        <v>6532</v>
      </c>
      <c r="I450" s="8" t="inlineStr">
        <is>
          <t xml:space="preserve">+</t>
        </is>
      </c>
      <c r="J450" s="4">
        <v>1.233</v>
      </c>
    </row>
    <row r="451">
      <c r="A451" s="5" t="inlineStr">
        <is>
          <t xml:space="preserve">BPTM-55-26S075016</t>
        </is>
      </c>
      <c r="B451" s="6" t="inlineStr">
        <is>
          <t xml:space="preserve">BPTM-55-26S075016</t>
        </is>
      </c>
      <c r="C451" s="6" t="inlineStr">
        <is>
          <t xml:space="preserve">AHL3NVDRX7_1</t>
        </is>
      </c>
      <c r="D451" s="15" t="inlineStr">
        <is>
          <t xml:space="preserve">W450_BRCA1_E09_01</t>
        </is>
      </c>
      <c r="E451" s="2">
        <v>8638</v>
      </c>
      <c r="F451" s="16" t="inlineStr">
        <is>
          <t xml:space="preserve">+</t>
        </is>
      </c>
      <c r="G451" s="4">
        <v>1.074</v>
      </c>
      <c r="H451" s="2">
        <v>6040</v>
      </c>
      <c r="I451" s="8" t="inlineStr">
        <is>
          <t xml:space="preserve">+</t>
        </is>
      </c>
      <c r="J451" s="4">
        <v>1.14</v>
      </c>
    </row>
    <row r="452">
      <c r="A452" s="5" t="inlineStr">
        <is>
          <t xml:space="preserve">BPTM-55-26S075016</t>
        </is>
      </c>
      <c r="B452" s="6" t="inlineStr">
        <is>
          <t xml:space="preserve">BPTM-55-26S075016</t>
        </is>
      </c>
      <c r="C452" s="6" t="inlineStr">
        <is>
          <t xml:space="preserve">AHL3NVDRX7_1</t>
        </is>
      </c>
      <c r="D452" s="15" t="inlineStr">
        <is>
          <t xml:space="preserve">W451_BRCA1_E09_02</t>
        </is>
      </c>
      <c r="E452" s="2">
        <v>2420</v>
      </c>
      <c r="F452" s="16" t="inlineStr">
        <is>
          <t xml:space="preserve">+</t>
        </is>
      </c>
      <c r="G452" s="4">
        <v>0.301</v>
      </c>
      <c r="H452" s="2">
        <v>1825</v>
      </c>
      <c r="I452" s="8" t="inlineStr">
        <is>
          <t xml:space="preserve">+</t>
        </is>
      </c>
      <c r="J452" s="4">
        <v>0.345</v>
      </c>
    </row>
    <row r="453">
      <c r="A453" s="5" t="inlineStr">
        <is>
          <t xml:space="preserve">BPTM-55-26S075016</t>
        </is>
      </c>
      <c r="B453" s="6" t="inlineStr">
        <is>
          <t xml:space="preserve">BPTM-55-26S075016</t>
        </is>
      </c>
      <c r="C453" s="6" t="inlineStr">
        <is>
          <t xml:space="preserve">AHL3NVDRX7_1</t>
        </is>
      </c>
      <c r="D453" s="15" t="inlineStr">
        <is>
          <t xml:space="preserve">W452_BRCA1_E08_01</t>
        </is>
      </c>
      <c r="E453" s="2">
        <v>5920</v>
      </c>
      <c r="F453" s="16" t="inlineStr">
        <is>
          <t xml:space="preserve">+</t>
        </is>
      </c>
      <c r="G453" s="4">
        <v>0.736</v>
      </c>
      <c r="H453" s="2">
        <v>4193</v>
      </c>
      <c r="I453" s="8" t="inlineStr">
        <is>
          <t xml:space="preserve">+</t>
        </is>
      </c>
      <c r="J453" s="4">
        <v>0.792</v>
      </c>
    </row>
    <row r="454">
      <c r="A454" s="5" t="inlineStr">
        <is>
          <t xml:space="preserve">BPTM-55-26S075016</t>
        </is>
      </c>
      <c r="B454" s="6" t="inlineStr">
        <is>
          <t xml:space="preserve">BPTM-55-26S075016</t>
        </is>
      </c>
      <c r="C454" s="6" t="inlineStr">
        <is>
          <t xml:space="preserve">AHL3NVDRX7_1</t>
        </is>
      </c>
      <c r="D454" s="15" t="inlineStr">
        <is>
          <t xml:space="preserve">W453_BRCA1_E08_02</t>
        </is>
      </c>
      <c r="E454" s="2">
        <v>7687</v>
      </c>
      <c r="F454" s="16" t="inlineStr">
        <is>
          <t xml:space="preserve">+</t>
        </is>
      </c>
      <c r="G454" s="4">
        <v>0.956</v>
      </c>
      <c r="H454" s="2">
        <v>4703</v>
      </c>
      <c r="I454" s="8" t="inlineStr">
        <is>
          <t xml:space="preserve">+</t>
        </is>
      </c>
      <c r="J454" s="4">
        <v>0.888</v>
      </c>
    </row>
    <row r="455">
      <c r="A455" s="5" t="inlineStr">
        <is>
          <t xml:space="preserve">BPTM-55-26S075016</t>
        </is>
      </c>
      <c r="B455" s="6" t="inlineStr">
        <is>
          <t xml:space="preserve">BPTM-55-26S075016</t>
        </is>
      </c>
      <c r="C455" s="6" t="inlineStr">
        <is>
          <t xml:space="preserve">AHL3NVDRX7_1</t>
        </is>
      </c>
      <c r="D455" s="15" t="inlineStr">
        <is>
          <t xml:space="preserve">W454_BRCA1_E07_01</t>
        </is>
      </c>
      <c r="E455" s="2">
        <v>5638</v>
      </c>
      <c r="F455" s="16" t="inlineStr">
        <is>
          <t xml:space="preserve">+</t>
        </is>
      </c>
      <c r="G455" s="4">
        <v>0.701</v>
      </c>
      <c r="H455" s="2">
        <v>4179</v>
      </c>
      <c r="I455" s="8" t="inlineStr">
        <is>
          <t xml:space="preserve">+</t>
        </is>
      </c>
      <c r="J455" s="4">
        <v>0.789</v>
      </c>
    </row>
    <row r="456">
      <c r="A456" s="5" t="inlineStr">
        <is>
          <t xml:space="preserve">BPTM-55-26S075016</t>
        </is>
      </c>
      <c r="B456" s="6" t="inlineStr">
        <is>
          <t xml:space="preserve">BPTM-55-26S075016</t>
        </is>
      </c>
      <c r="C456" s="6" t="inlineStr">
        <is>
          <t xml:space="preserve">AHL3NVDRX7_1</t>
        </is>
      </c>
      <c r="D456" s="15" t="inlineStr">
        <is>
          <t xml:space="preserve">W455_BRCA1_E07_02</t>
        </is>
      </c>
      <c r="E456" s="2">
        <v>9370</v>
      </c>
      <c r="F456" s="16" t="inlineStr">
        <is>
          <t xml:space="preserve">+</t>
        </is>
      </c>
      <c r="G456" s="4">
        <v>1.165</v>
      </c>
      <c r="H456" s="2">
        <v>6465</v>
      </c>
      <c r="I456" s="8" t="inlineStr">
        <is>
          <t xml:space="preserve">+</t>
        </is>
      </c>
      <c r="J456" s="4">
        <v>1.22</v>
      </c>
    </row>
    <row r="457">
      <c r="A457" s="5" t="inlineStr">
        <is>
          <t xml:space="preserve">BPTM-55-26S075016</t>
        </is>
      </c>
      <c r="B457" s="6" t="inlineStr">
        <is>
          <t xml:space="preserve">BPTM-55-26S075016</t>
        </is>
      </c>
      <c r="C457" s="6" t="inlineStr">
        <is>
          <t xml:space="preserve">AHL3NVDRX7_1</t>
        </is>
      </c>
      <c r="D457" s="15" t="inlineStr">
        <is>
          <t xml:space="preserve">W456_BRCA1_E07_03</t>
        </is>
      </c>
      <c r="E457" s="2">
        <v>7795</v>
      </c>
      <c r="F457" s="16" t="inlineStr">
        <is>
          <t xml:space="preserve">+</t>
        </is>
      </c>
      <c r="G457" s="4">
        <v>0.969</v>
      </c>
      <c r="H457" s="2">
        <v>5520</v>
      </c>
      <c r="I457" s="8" t="inlineStr">
        <is>
          <t xml:space="preserve">+</t>
        </is>
      </c>
      <c r="J457" s="4">
        <v>1.042</v>
      </c>
    </row>
    <row r="458">
      <c r="A458" s="5" t="inlineStr">
        <is>
          <t xml:space="preserve">BPTM-55-26S075016</t>
        </is>
      </c>
      <c r="B458" s="6" t="inlineStr">
        <is>
          <t xml:space="preserve">BPTM-55-26S075016</t>
        </is>
      </c>
      <c r="C458" s="6" t="inlineStr">
        <is>
          <t xml:space="preserve">AHL3NVDRX7_1</t>
        </is>
      </c>
      <c r="D458" s="15" t="inlineStr">
        <is>
          <t xml:space="preserve">W457_BRCA1_E06_01</t>
        </is>
      </c>
      <c r="E458" s="2">
        <v>15508</v>
      </c>
      <c r="F458" s="16" t="inlineStr">
        <is>
          <t xml:space="preserve">+</t>
        </is>
      </c>
      <c r="G458" s="4">
        <v>1.928</v>
      </c>
      <c r="H458" s="2">
        <v>8787</v>
      </c>
      <c r="I458" s="8" t="inlineStr">
        <is>
          <t xml:space="preserve">+</t>
        </is>
      </c>
      <c r="J458" s="4">
        <v>1.659</v>
      </c>
    </row>
    <row r="459">
      <c r="A459" s="5" t="inlineStr">
        <is>
          <t xml:space="preserve">BPTM-55-26S075016</t>
        </is>
      </c>
      <c r="B459" s="6" t="inlineStr">
        <is>
          <t xml:space="preserve">BPTM-55-26S075016</t>
        </is>
      </c>
      <c r="C459" s="6" t="inlineStr">
        <is>
          <t xml:space="preserve">AHL3NVDRX7_1</t>
        </is>
      </c>
      <c r="D459" s="15" t="inlineStr">
        <is>
          <t xml:space="preserve">W458_BRCA1_E06_02</t>
        </is>
      </c>
      <c r="E459" s="2">
        <v>12253</v>
      </c>
      <c r="F459" s="16" t="inlineStr">
        <is>
          <t xml:space="preserve">+</t>
        </is>
      </c>
      <c r="G459" s="4">
        <v>1.524</v>
      </c>
      <c r="H459" s="2">
        <v>7913</v>
      </c>
      <c r="I459" s="8" t="inlineStr">
        <is>
          <t xml:space="preserve">+</t>
        </is>
      </c>
      <c r="J459" s="4">
        <v>1.494</v>
      </c>
    </row>
    <row r="460">
      <c r="A460" s="5" t="inlineStr">
        <is>
          <t xml:space="preserve">BPTM-55-26S075016</t>
        </is>
      </c>
      <c r="B460" s="6" t="inlineStr">
        <is>
          <t xml:space="preserve">BPTM-55-26S075016</t>
        </is>
      </c>
      <c r="C460" s="6" t="inlineStr">
        <is>
          <t xml:space="preserve">AHL3NVDRX7_1</t>
        </is>
      </c>
      <c r="D460" s="15" t="inlineStr">
        <is>
          <t xml:space="preserve">W459_BRCA1_E05_01</t>
        </is>
      </c>
      <c r="E460" s="2">
        <v>10474</v>
      </c>
      <c r="F460" s="16" t="inlineStr">
        <is>
          <t xml:space="preserve">+</t>
        </is>
      </c>
      <c r="G460" s="4">
        <v>1.302</v>
      </c>
      <c r="H460" s="2">
        <v>7179</v>
      </c>
      <c r="I460" s="8" t="inlineStr">
        <is>
          <t xml:space="preserve">+</t>
        </is>
      </c>
      <c r="J460" s="4">
        <v>1.355</v>
      </c>
    </row>
    <row r="461">
      <c r="A461" s="5" t="inlineStr">
        <is>
          <t xml:space="preserve">BPTM-55-26S075016</t>
        </is>
      </c>
      <c r="B461" s="6" t="inlineStr">
        <is>
          <t xml:space="preserve">BPTM-55-26S075016</t>
        </is>
      </c>
      <c r="C461" s="6" t="inlineStr">
        <is>
          <t xml:space="preserve">AHL3NVDRX7_1</t>
        </is>
      </c>
      <c r="D461" s="15" t="inlineStr">
        <is>
          <t xml:space="preserve">W460_BRCA1_E05_02</t>
        </is>
      </c>
      <c r="E461" s="2">
        <v>6818</v>
      </c>
      <c r="F461" s="16" t="inlineStr">
        <is>
          <t xml:space="preserve">+</t>
        </is>
      </c>
      <c r="G461" s="4">
        <v>0.848</v>
      </c>
      <c r="H461" s="2">
        <v>4792</v>
      </c>
      <c r="I461" s="8" t="inlineStr">
        <is>
          <t xml:space="preserve">+</t>
        </is>
      </c>
      <c r="J461" s="4">
        <v>0.905</v>
      </c>
    </row>
    <row r="462">
      <c r="A462" s="5" t="inlineStr">
        <is>
          <t xml:space="preserve">BPTM-55-26S075016</t>
        </is>
      </c>
      <c r="B462" s="6" t="inlineStr">
        <is>
          <t xml:space="preserve">BPTM-55-26S075016</t>
        </is>
      </c>
      <c r="C462" s="6" t="inlineStr">
        <is>
          <t xml:space="preserve">AHL3NVDRX7_1</t>
        </is>
      </c>
      <c r="D462" s="15" t="inlineStr">
        <is>
          <t xml:space="preserve">W461_BRCA1_E03_01</t>
        </is>
      </c>
      <c r="E462" s="2">
        <v>14777</v>
      </c>
      <c r="F462" s="16" t="inlineStr">
        <is>
          <t xml:space="preserve">+</t>
        </is>
      </c>
      <c r="G462" s="4">
        <v>1.838</v>
      </c>
      <c r="H462" s="2">
        <v>9087</v>
      </c>
      <c r="I462" s="8" t="inlineStr">
        <is>
          <t xml:space="preserve">+</t>
        </is>
      </c>
      <c r="J462" s="4">
        <v>1.715</v>
      </c>
    </row>
    <row r="463">
      <c r="A463" s="5" t="inlineStr">
        <is>
          <t xml:space="preserve">BPTM-55-26S075016</t>
        </is>
      </c>
      <c r="B463" s="6" t="inlineStr">
        <is>
          <t xml:space="preserve">BPTM-55-26S075016</t>
        </is>
      </c>
      <c r="C463" s="6" t="inlineStr">
        <is>
          <t xml:space="preserve">AHL3NVDRX7_1</t>
        </is>
      </c>
      <c r="D463" s="15" t="inlineStr">
        <is>
          <t xml:space="preserve">W462_BRCA1_E03_02</t>
        </is>
      </c>
      <c r="E463" s="2">
        <v>11695</v>
      </c>
      <c r="F463" s="16" t="inlineStr">
        <is>
          <t xml:space="preserve">+</t>
        </is>
      </c>
      <c r="G463" s="4">
        <v>1.454</v>
      </c>
      <c r="H463" s="2">
        <v>8280</v>
      </c>
      <c r="I463" s="8" t="inlineStr">
        <is>
          <t xml:space="preserve">+</t>
        </is>
      </c>
      <c r="J463" s="4">
        <v>1.563</v>
      </c>
    </row>
    <row r="464">
      <c r="A464" s="5" t="inlineStr">
        <is>
          <t xml:space="preserve">BPTM-55-26S075016</t>
        </is>
      </c>
      <c r="B464" s="6" t="inlineStr">
        <is>
          <t xml:space="preserve">BPTM-55-26S075016</t>
        </is>
      </c>
      <c r="C464" s="6" t="inlineStr">
        <is>
          <t xml:space="preserve">AHL3NVDRX7_1</t>
        </is>
      </c>
      <c r="D464" s="15" t="inlineStr">
        <is>
          <t xml:space="preserve">W463_BRCA1_E02_01</t>
        </is>
      </c>
      <c r="E464" s="2">
        <v>8698</v>
      </c>
      <c r="F464" s="16" t="inlineStr">
        <is>
          <t xml:space="preserve">+</t>
        </is>
      </c>
      <c r="G464" s="4">
        <v>1.082</v>
      </c>
      <c r="H464" s="2">
        <v>5855</v>
      </c>
      <c r="I464" s="8" t="inlineStr">
        <is>
          <t xml:space="preserve">+</t>
        </is>
      </c>
      <c r="J464" s="4">
        <v>1.105</v>
      </c>
    </row>
    <row r="465">
      <c r="A465" s="5" t="inlineStr">
        <is>
          <t xml:space="preserve">BPTM-55-26S075016</t>
        </is>
      </c>
      <c r="B465" s="6" t="inlineStr">
        <is>
          <t xml:space="preserve">BPTM-55-26S075016</t>
        </is>
      </c>
      <c r="C465" s="6" t="inlineStr">
        <is>
          <t xml:space="preserve">AHL3NVDRX7_1</t>
        </is>
      </c>
      <c r="D465" s="15" t="inlineStr">
        <is>
          <t xml:space="preserve">W464_BRCA1_E02_02</t>
        </is>
      </c>
      <c r="E465" s="2">
        <v>4616</v>
      </c>
      <c r="F465" s="16" t="inlineStr">
        <is>
          <t xml:space="preserve">+</t>
        </is>
      </c>
      <c r="G465" s="4">
        <v>0.574</v>
      </c>
      <c r="H465" s="2">
        <v>3372</v>
      </c>
      <c r="I465" s="8" t="inlineStr">
        <is>
          <t xml:space="preserve">+</t>
        </is>
      </c>
      <c r="J465" s="4">
        <v>0.637</v>
      </c>
    </row>
    <row r="466">
      <c r="A466" s="5" t="inlineStr">
        <is>
          <t xml:space="preserve">BPTM-55-26S075016</t>
        </is>
      </c>
      <c r="B466" s="6" t="inlineStr">
        <is>
          <t xml:space="preserve">BPTM-55-26S075016</t>
        </is>
      </c>
      <c r="C466" s="6" t="inlineStr">
        <is>
          <t xml:space="preserve">AHL3NVDRX7_1</t>
        </is>
      </c>
      <c r="D466" s="15" t="inlineStr">
        <is>
          <t xml:space="preserve">W465_BRCA1_E02_03</t>
        </is>
      </c>
      <c r="E466" s="2">
        <v>7839</v>
      </c>
      <c r="F466" s="16" t="inlineStr">
        <is>
          <t xml:space="preserve">+</t>
        </is>
      </c>
      <c r="G466" s="4">
        <v>0.975</v>
      </c>
      <c r="H466" s="2">
        <v>5692</v>
      </c>
      <c r="I466" s="8" t="inlineStr">
        <is>
          <t xml:space="preserve">+</t>
        </is>
      </c>
      <c r="J466" s="4">
        <v>1.074</v>
      </c>
    </row>
    <row r="467">
      <c r="A467" s="5" t="inlineStr">
        <is>
          <t xml:space="preserve">BPTM-55-26S075016</t>
        </is>
      </c>
      <c r="B467" s="6" t="inlineStr">
        <is>
          <t xml:space="preserve">BPTM-55-26S075016</t>
        </is>
      </c>
      <c r="C467" s="6" t="inlineStr">
        <is>
          <t xml:space="preserve">AHL3NVDRX7_1</t>
        </is>
      </c>
      <c r="D467" s="15" t="inlineStr">
        <is>
          <t xml:space="preserve">W466_BRCA1_E02_04</t>
        </is>
      </c>
      <c r="E467" s="2">
        <v>17027</v>
      </c>
      <c r="F467" s="16" t="inlineStr">
        <is>
          <t xml:space="preserve">+</t>
        </is>
      </c>
      <c r="G467" s="4">
        <v>2.117</v>
      </c>
      <c r="H467" s="2">
        <v>11420</v>
      </c>
      <c r="I467" s="8" t="inlineStr">
        <is>
          <t xml:space="preserve">+</t>
        </is>
      </c>
      <c r="J467" s="4">
        <v>2.156</v>
      </c>
    </row>
    <row r="468">
      <c r="A468" s="5" t="inlineStr">
        <is>
          <t xml:space="preserve">BPTM-55-26S075016</t>
        </is>
      </c>
      <c r="B468" s="6" t="inlineStr">
        <is>
          <t xml:space="preserve">BPTM-55-26S075016</t>
        </is>
      </c>
      <c r="C468" s="6" t="inlineStr">
        <is>
          <t xml:space="preserve">AHL3NVDRX7_1</t>
        </is>
      </c>
      <c r="D468" s="15" t="inlineStr">
        <is>
          <t xml:space="preserve">W467_BRCA1_UTR5_01</t>
        </is>
      </c>
      <c r="E468" s="2">
        <v>8527</v>
      </c>
      <c r="F468" s="16" t="inlineStr">
        <is>
          <t xml:space="preserve">+</t>
        </is>
      </c>
      <c r="G468" s="4">
        <v>1.06</v>
      </c>
      <c r="H468" s="2">
        <v>5588</v>
      </c>
      <c r="I468" s="8" t="inlineStr">
        <is>
          <t xml:space="preserve">+</t>
        </is>
      </c>
      <c r="J468" s="4">
        <v>1.055</v>
      </c>
    </row>
    <row r="469">
      <c r="A469" s="5" t="inlineStr">
        <is>
          <t xml:space="preserve">BPTM-55-26S075016</t>
        </is>
      </c>
      <c r="B469" s="6" t="inlineStr">
        <is>
          <t xml:space="preserve">BPTM-55-26S075016</t>
        </is>
      </c>
      <c r="C469" s="6" t="inlineStr">
        <is>
          <t xml:space="preserve">AHL3NVDRX7_1</t>
        </is>
      </c>
      <c r="D469" s="15" t="inlineStr">
        <is>
          <t xml:space="preserve">W468_BRCA1_UTR5_02</t>
        </is>
      </c>
      <c r="E469" s="2">
        <v>1922</v>
      </c>
      <c r="F469" s="16" t="inlineStr">
        <is>
          <t xml:space="preserve">+</t>
        </is>
      </c>
      <c r="G469" s="4">
        <v>0.239</v>
      </c>
      <c r="H469" s="2">
        <v>1291</v>
      </c>
      <c r="I469" s="8" t="inlineStr">
        <is>
          <t xml:space="preserve">+</t>
        </is>
      </c>
      <c r="J469" s="4">
        <v>0.244</v>
      </c>
    </row>
    <row r="470">
      <c r="A470" s="5" t="inlineStr">
        <is>
          <t xml:space="preserve">BPTM-55-26S075016</t>
        </is>
      </c>
      <c r="B470" s="6" t="inlineStr">
        <is>
          <t xml:space="preserve">BPTM-55-26S075016</t>
        </is>
      </c>
      <c r="C470" s="6" t="inlineStr">
        <is>
          <t xml:space="preserve">AHL3NVDRX7_1</t>
        </is>
      </c>
      <c r="D470" s="15" t="inlineStr">
        <is>
          <t xml:space="preserve">W469_Ctrl_STIL_01</t>
        </is>
      </c>
      <c r="E470" s="2">
        <v>17253</v>
      </c>
      <c r="F470" s="16" t="inlineStr">
        <is>
          <t xml:space="preserve">+</t>
        </is>
      </c>
      <c r="G470" s="4">
        <v>2.145</v>
      </c>
      <c r="H470" s="2">
        <v>10168</v>
      </c>
      <c r="I470" s="8" t="inlineStr">
        <is>
          <t xml:space="preserve">+</t>
        </is>
      </c>
      <c r="J470" s="4">
        <v>1.919</v>
      </c>
    </row>
    <row r="471">
      <c r="A471" s="5" t="inlineStr">
        <is>
          <t xml:space="preserve">BPTM-55-26S075016</t>
        </is>
      </c>
      <c r="B471" s="6" t="inlineStr">
        <is>
          <t xml:space="preserve">BPTM-55-26S075016</t>
        </is>
      </c>
      <c r="C471" s="6" t="inlineStr">
        <is>
          <t xml:space="preserve">AHL3NVDRX7_1</t>
        </is>
      </c>
      <c r="D471" s="15" t="inlineStr">
        <is>
          <t xml:space="preserve">W470_Ctrl_STIL_02</t>
        </is>
      </c>
      <c r="E471" s="2">
        <v>16627</v>
      </c>
      <c r="F471" s="16" t="inlineStr">
        <is>
          <t xml:space="preserve">+</t>
        </is>
      </c>
      <c r="G471" s="4">
        <v>2.068</v>
      </c>
      <c r="H471" s="2">
        <v>9760</v>
      </c>
      <c r="I471" s="8" t="inlineStr">
        <is>
          <t xml:space="preserve">+</t>
        </is>
      </c>
      <c r="J471" s="4">
        <v>1.842</v>
      </c>
    </row>
    <row r="472">
      <c r="A472" s="5" t="inlineStr">
        <is>
          <t xml:space="preserve">BPTM-55-26S075016</t>
        </is>
      </c>
      <c r="B472" s="6" t="inlineStr">
        <is>
          <t xml:space="preserve">BPTM-55-26S075016</t>
        </is>
      </c>
      <c r="C472" s="6" t="inlineStr">
        <is>
          <t xml:space="preserve">AHL3NVDRX7_1</t>
        </is>
      </c>
      <c r="D472" s="15" t="inlineStr">
        <is>
          <t xml:space="preserve">W471_Ctrl_ESR1_01</t>
        </is>
      </c>
      <c r="E472" s="2">
        <v>15356</v>
      </c>
      <c r="F472" s="16" t="inlineStr">
        <is>
          <t xml:space="preserve">+</t>
        </is>
      </c>
      <c r="G472" s="4">
        <v>1.91</v>
      </c>
      <c r="H472" s="2">
        <v>9127</v>
      </c>
      <c r="I472" s="8" t="inlineStr">
        <is>
          <t xml:space="preserve">+</t>
        </is>
      </c>
      <c r="J472" s="4">
        <v>1.723</v>
      </c>
    </row>
    <row r="473">
      <c r="A473" s="5" t="inlineStr">
        <is>
          <t xml:space="preserve">BPTM-55-26S075016</t>
        </is>
      </c>
      <c r="B473" s="6" t="inlineStr">
        <is>
          <t xml:space="preserve">BPTM-55-26S075016</t>
        </is>
      </c>
      <c r="C473" s="6" t="inlineStr">
        <is>
          <t xml:space="preserve">AHL3NVDRX7_1</t>
        </is>
      </c>
      <c r="D473" s="15" t="inlineStr">
        <is>
          <t xml:space="preserve">W472_Ctrl_ESR1_02</t>
        </is>
      </c>
      <c r="E473" s="2">
        <v>15802</v>
      </c>
      <c r="F473" s="16" t="inlineStr">
        <is>
          <t xml:space="preserve">+</t>
        </is>
      </c>
      <c r="G473" s="4">
        <v>1.965</v>
      </c>
      <c r="H473" s="2">
        <v>9979</v>
      </c>
      <c r="I473" s="8" t="inlineStr">
        <is>
          <t xml:space="preserve">+</t>
        </is>
      </c>
      <c r="J473" s="4">
        <v>1.884</v>
      </c>
    </row>
    <row r="474">
      <c r="A474" s="5" t="inlineStr">
        <is>
          <t xml:space="preserve">BPTM-55-26S075016</t>
        </is>
      </c>
      <c r="B474" s="6" t="inlineStr">
        <is>
          <t xml:space="preserve">BPTM-55-26S075016</t>
        </is>
      </c>
      <c r="C474" s="6" t="inlineStr">
        <is>
          <t xml:space="preserve">AHL3NVDRX7_1</t>
        </is>
      </c>
      <c r="D474" s="15" t="inlineStr">
        <is>
          <t xml:space="preserve">W473_Ctrl_ATM_01</t>
        </is>
      </c>
      <c r="E474" s="2">
        <v>7616</v>
      </c>
      <c r="F474" s="16" t="inlineStr">
        <is>
          <t xml:space="preserve">+</t>
        </is>
      </c>
      <c r="G474" s="4">
        <v>0.947</v>
      </c>
      <c r="H474" s="2">
        <v>5359</v>
      </c>
      <c r="I474" s="8" t="inlineStr">
        <is>
          <t xml:space="preserve">+</t>
        </is>
      </c>
      <c r="J474" s="4">
        <v>1.012</v>
      </c>
    </row>
    <row r="475">
      <c r="A475" s="5" t="inlineStr">
        <is>
          <t xml:space="preserve">BPTM-55-26S075016</t>
        </is>
      </c>
      <c r="B475" s="6" t="inlineStr">
        <is>
          <t xml:space="preserve">BPTM-55-26S075016</t>
        </is>
      </c>
      <c r="C475" s="6" t="inlineStr">
        <is>
          <t xml:space="preserve">AHL3NVDRX7_1</t>
        </is>
      </c>
      <c r="D475" s="15" t="inlineStr">
        <is>
          <t xml:space="preserve">W474_Ctrl_ATM_02</t>
        </is>
      </c>
      <c r="E475" s="2">
        <v>8179</v>
      </c>
      <c r="F475" s="16" t="inlineStr">
        <is>
          <t xml:space="preserve">+</t>
        </is>
      </c>
      <c r="G475" s="4">
        <v>1.017</v>
      </c>
      <c r="H475" s="2">
        <v>5610</v>
      </c>
      <c r="I475" s="8" t="inlineStr">
        <is>
          <t xml:space="preserve">+</t>
        </is>
      </c>
      <c r="J475" s="4">
        <v>1.059</v>
      </c>
    </row>
    <row r="476">
      <c r="A476" s="5" t="inlineStr">
        <is>
          <t xml:space="preserve">BPTM-55-26S075016</t>
        </is>
      </c>
      <c r="B476" s="6" t="inlineStr">
        <is>
          <t xml:space="preserve">BPTM-55-26S075016</t>
        </is>
      </c>
      <c r="C476" s="6" t="inlineStr">
        <is>
          <t xml:space="preserve">AHL3NVDRX7_1</t>
        </is>
      </c>
      <c r="D476" s="15" t="inlineStr">
        <is>
          <t xml:space="preserve">W475_Ctrl_ATP7B_01</t>
        </is>
      </c>
      <c r="E476" s="2">
        <v>10678</v>
      </c>
      <c r="F476" s="16" t="inlineStr">
        <is>
          <t xml:space="preserve">+</t>
        </is>
      </c>
      <c r="G476" s="4">
        <v>1.328</v>
      </c>
      <c r="H476" s="2">
        <v>5750</v>
      </c>
      <c r="I476" s="8" t="inlineStr">
        <is>
          <t xml:space="preserve">+</t>
        </is>
      </c>
      <c r="J476" s="4">
        <v>1.085</v>
      </c>
    </row>
    <row r="477">
      <c r="A477" s="5" t="inlineStr">
        <is>
          <t xml:space="preserve">BPTM-55-26S075016</t>
        </is>
      </c>
      <c r="B477" s="6" t="inlineStr">
        <is>
          <t xml:space="preserve">BPTM-55-26S075016</t>
        </is>
      </c>
      <c r="C477" s="6" t="inlineStr">
        <is>
          <t xml:space="preserve">AHL3NVDRX7_1</t>
        </is>
      </c>
      <c r="D477" s="15" t="inlineStr">
        <is>
          <t xml:space="preserve">W476_Ctrl_RDH12_01</t>
        </is>
      </c>
      <c r="E477" s="2">
        <v>9638</v>
      </c>
      <c r="F477" s="16" t="inlineStr">
        <is>
          <t xml:space="preserve">+</t>
        </is>
      </c>
      <c r="G477" s="4">
        <v>1.199</v>
      </c>
      <c r="H477" s="2">
        <v>5917</v>
      </c>
      <c r="I477" s="8" t="inlineStr">
        <is>
          <t xml:space="preserve">+</t>
        </is>
      </c>
      <c r="J477" s="4">
        <v>1.117</v>
      </c>
    </row>
    <row r="478">
      <c r="A478" s="5" t="inlineStr">
        <is>
          <t xml:space="preserve">BPTM-55-26S075016</t>
        </is>
      </c>
      <c r="B478" s="6" t="inlineStr">
        <is>
          <t xml:space="preserve">BPTM-55-26S075016</t>
        </is>
      </c>
      <c r="C478" s="6" t="inlineStr">
        <is>
          <t xml:space="preserve">AHL3NVDRX7_1</t>
        </is>
      </c>
      <c r="D478" s="15" t="inlineStr">
        <is>
          <t xml:space="preserve">W477_Ctrl_FBN1_01</t>
        </is>
      </c>
      <c r="E478" s="2">
        <v>12155</v>
      </c>
      <c r="F478" s="16" t="inlineStr">
        <is>
          <t xml:space="preserve">+</t>
        </is>
      </c>
      <c r="G478" s="4">
        <v>1.512</v>
      </c>
      <c r="H478" s="2">
        <v>8561</v>
      </c>
      <c r="I478" s="8" t="inlineStr">
        <is>
          <t xml:space="preserve">+</t>
        </is>
      </c>
      <c r="J478" s="4">
        <v>1.616</v>
      </c>
    </row>
    <row r="479">
      <c r="A479" s="5" t="inlineStr">
        <is>
          <t xml:space="preserve">BPTM-55-26S075016</t>
        </is>
      </c>
      <c r="B479" s="6" t="inlineStr">
        <is>
          <t xml:space="preserve">BPTM-55-26S075016</t>
        </is>
      </c>
      <c r="C479" s="6" t="inlineStr">
        <is>
          <t xml:space="preserve">AHL3NVDRX7_1</t>
        </is>
      </c>
      <c r="D479" s="15" t="inlineStr">
        <is>
          <t xml:space="preserve">W478_Ctrl_KCNJ6_01</t>
        </is>
      </c>
      <c r="E479" s="2">
        <v>10690</v>
      </c>
      <c r="F479" s="16" t="inlineStr">
        <is>
          <t xml:space="preserve">+</t>
        </is>
      </c>
      <c r="G479" s="4">
        <v>1.329</v>
      </c>
      <c r="H479" s="2">
        <v>5923</v>
      </c>
      <c r="I479" s="8" t="inlineStr">
        <is>
          <t xml:space="preserve">+</t>
        </is>
      </c>
      <c r="J479" s="4">
        <v>1.118</v>
      </c>
    </row>
    <row r="480">
      <c r="A480" s="5" t="inlineStr">
        <is>
          <t xml:space="preserve">BPTM-55-26S075016</t>
        </is>
      </c>
      <c r="B480" s="6" t="inlineStr">
        <is>
          <t xml:space="preserve">BPTM-55-26S075016</t>
        </is>
      </c>
      <c r="C480" s="6" t="inlineStr">
        <is>
          <t xml:space="preserve">AHL3NVDRX7_1</t>
        </is>
      </c>
      <c r="D480" s="15" t="inlineStr">
        <is>
          <t xml:space="preserve">W479_Ctrl_KCNJ6_02</t>
        </is>
      </c>
      <c r="E480" s="2">
        <v>13298</v>
      </c>
      <c r="F480" s="16" t="inlineStr">
        <is>
          <t xml:space="preserve">+</t>
        </is>
      </c>
      <c r="G480" s="4">
        <v>1.654</v>
      </c>
      <c r="H480" s="2">
        <v>7597</v>
      </c>
      <c r="I480" s="8" t="inlineStr">
        <is>
          <t xml:space="preserve">+</t>
        </is>
      </c>
      <c r="J480" s="4">
        <v>1.434</v>
      </c>
    </row>
    <row r="481">
      <c r="A481" s="5" t="inlineStr">
        <is>
          <t xml:space="preserve">BPTM-55-26S075016</t>
        </is>
      </c>
      <c r="B481" s="6" t="inlineStr">
        <is>
          <t xml:space="preserve">BPTM-55-26S075016</t>
        </is>
      </c>
      <c r="C481" s="6" t="inlineStr">
        <is>
          <t xml:space="preserve">AHL3NVDRX7_1</t>
        </is>
      </c>
      <c r="D481" s="15" t="inlineStr">
        <is>
          <t xml:space="preserve">W480_Ctrl_LARGE_01</t>
        </is>
      </c>
      <c r="E481" s="2">
        <v>12549</v>
      </c>
      <c r="F481" s="16" t="inlineStr">
        <is>
          <t xml:space="preserve">+</t>
        </is>
      </c>
      <c r="G481" s="4">
        <v>1.561</v>
      </c>
      <c r="H481" s="2">
        <v>7809</v>
      </c>
      <c r="I481" s="8" t="inlineStr">
        <is>
          <t xml:space="preserve">+</t>
        </is>
      </c>
      <c r="J481" s="4">
        <v>1.474</v>
      </c>
    </row>
    <row r="482">
      <c r="A482" s="5" t="inlineStr">
        <is>
          <t xml:space="preserve">BPTM-55-26S075016</t>
        </is>
      </c>
      <c r="B482" s="6" t="inlineStr">
        <is>
          <t xml:space="preserve">BPTM-55-26S075016</t>
        </is>
      </c>
      <c r="C482" s="6" t="inlineStr">
        <is>
          <t xml:space="preserve">AHL3NVDRX7_1</t>
        </is>
      </c>
      <c r="D482" s="15" t="inlineStr">
        <is>
          <t xml:space="preserve">MSI01</t>
        </is>
      </c>
      <c r="E482" s="2">
        <v>7781</v>
      </c>
      <c r="F482" s="16" t="inlineStr">
        <is>
          <t xml:space="preserve">+</t>
        </is>
      </c>
      <c r="G482" s="4">
        <v>0.968</v>
      </c>
      <c r="H482" s="2">
        <v>5035</v>
      </c>
      <c r="I482" s="8" t="inlineStr">
        <is>
          <t xml:space="preserve">+</t>
        </is>
      </c>
      <c r="J482" s="4">
        <v>0.95</v>
      </c>
    </row>
    <row r="483">
      <c r="A483" s="5" t="inlineStr">
        <is>
          <t xml:space="preserve">BPTM-55-26S075016</t>
        </is>
      </c>
      <c r="B483" s="6" t="inlineStr">
        <is>
          <t xml:space="preserve">BPTM-55-26S075016</t>
        </is>
      </c>
      <c r="C483" s="6" t="inlineStr">
        <is>
          <t xml:space="preserve">AHL3NVDRX7_1</t>
        </is>
      </c>
      <c r="D483" s="15" t="inlineStr">
        <is>
          <t xml:space="preserve">MSI02</t>
        </is>
      </c>
      <c r="E483" s="2">
        <v>10323</v>
      </c>
      <c r="F483" s="16" t="inlineStr">
        <is>
          <t xml:space="preserve">+</t>
        </is>
      </c>
      <c r="G483" s="4">
        <v>1.284</v>
      </c>
      <c r="H483" s="2">
        <v>7097</v>
      </c>
      <c r="I483" s="8" t="inlineStr">
        <is>
          <t xml:space="preserve">+</t>
        </is>
      </c>
      <c r="J483" s="4">
        <v>1.34</v>
      </c>
    </row>
    <row r="484">
      <c r="A484" s="5" t="inlineStr">
        <is>
          <t xml:space="preserve">BPTM-55-26S075016</t>
        </is>
      </c>
      <c r="B484" s="6" t="inlineStr">
        <is>
          <t xml:space="preserve">BPTM-55-26S075016</t>
        </is>
      </c>
      <c r="C484" s="6" t="inlineStr">
        <is>
          <t xml:space="preserve">AHL3NVDRX7_1</t>
        </is>
      </c>
      <c r="D484" s="15" t="inlineStr">
        <is>
          <t xml:space="preserve">MSI03</t>
        </is>
      </c>
      <c r="E484" s="2">
        <v>4573</v>
      </c>
      <c r="F484" s="16" t="inlineStr">
        <is>
          <t xml:space="preserve">+</t>
        </is>
      </c>
      <c r="G484" s="4">
        <v>0.569</v>
      </c>
      <c r="H484" s="2">
        <v>3283</v>
      </c>
      <c r="I484" s="8" t="inlineStr">
        <is>
          <t xml:space="preserve">+</t>
        </is>
      </c>
      <c r="J484" s="4">
        <v>0.62</v>
      </c>
    </row>
    <row r="485">
      <c r="A485" s="5" t="inlineStr">
        <is>
          <t xml:space="preserve">BPTM-55-26S075016</t>
        </is>
      </c>
      <c r="B485" s="6" t="inlineStr">
        <is>
          <t xml:space="preserve">BPTM-55-26S075016</t>
        </is>
      </c>
      <c r="C485" s="6" t="inlineStr">
        <is>
          <t xml:space="preserve">AHL3NVDRX7_1</t>
        </is>
      </c>
      <c r="D485" s="15" t="inlineStr">
        <is>
          <t xml:space="preserve">MSI04</t>
        </is>
      </c>
      <c r="E485" s="2">
        <v>13119</v>
      </c>
      <c r="F485" s="16" t="inlineStr">
        <is>
          <t xml:space="preserve">+</t>
        </is>
      </c>
      <c r="G485" s="4">
        <v>1.631</v>
      </c>
      <c r="H485" s="2">
        <v>8810</v>
      </c>
      <c r="I485" s="8" t="inlineStr">
        <is>
          <t xml:space="preserve">+</t>
        </is>
      </c>
      <c r="J485" s="4">
        <v>1.663</v>
      </c>
    </row>
    <row r="486">
      <c r="A486" s="5" t="inlineStr">
        <is>
          <t xml:space="preserve">BPTM-55-26S075016</t>
        </is>
      </c>
      <c r="B486" s="6" t="inlineStr">
        <is>
          <t xml:space="preserve">BPTM-55-26S075016</t>
        </is>
      </c>
      <c r="C486" s="6" t="inlineStr">
        <is>
          <t xml:space="preserve">AHL3NVDRX7_1</t>
        </is>
      </c>
      <c r="D486" s="15" t="inlineStr">
        <is>
          <t xml:space="preserve">MSI05</t>
        </is>
      </c>
      <c r="E486" s="2">
        <v>11403</v>
      </c>
      <c r="F486" s="16" t="inlineStr">
        <is>
          <t xml:space="preserve">+</t>
        </is>
      </c>
      <c r="G486" s="4">
        <v>1.418</v>
      </c>
      <c r="H486" s="2">
        <v>8135</v>
      </c>
      <c r="I486" s="8" t="inlineStr">
        <is>
          <t xml:space="preserve">+</t>
        </is>
      </c>
      <c r="J486" s="4">
        <v>1.536</v>
      </c>
    </row>
    <row r="487">
      <c r="A487" s="5" t="inlineStr">
        <is>
          <t xml:space="preserve">BPTM-55-26S075016</t>
        </is>
      </c>
      <c r="B487" s="6" t="inlineStr">
        <is>
          <t xml:space="preserve">BPTM-55-26S075016</t>
        </is>
      </c>
      <c r="C487" s="6" t="inlineStr">
        <is>
          <t xml:space="preserve">AHL3NVDRX7_1</t>
        </is>
      </c>
      <c r="D487" s="15" t="inlineStr">
        <is>
          <t xml:space="preserve">MSI06</t>
        </is>
      </c>
      <c r="E487" s="2">
        <v>20236</v>
      </c>
      <c r="F487" s="16" t="inlineStr">
        <is>
          <t xml:space="preserve">+</t>
        </is>
      </c>
      <c r="G487" s="4">
        <v>2.516</v>
      </c>
      <c r="H487" s="2">
        <v>13493</v>
      </c>
      <c r="I487" s="8" t="inlineStr">
        <is>
          <t xml:space="preserve">+</t>
        </is>
      </c>
      <c r="J487" s="4">
        <v>2.547</v>
      </c>
    </row>
    <row r="488">
      <c r="A488" s="5" t="inlineStr">
        <is>
          <t xml:space="preserve">BPTM-55-26S075016</t>
        </is>
      </c>
      <c r="B488" s="6" t="inlineStr">
        <is>
          <t xml:space="preserve">BPTM-55-26S075016</t>
        </is>
      </c>
      <c r="C488" s="6" t="inlineStr">
        <is>
          <t xml:space="preserve">AHL3NVDRX7_1</t>
        </is>
      </c>
      <c r="D488" s="15" t="inlineStr">
        <is>
          <t xml:space="preserve">MSI07</t>
        </is>
      </c>
      <c r="E488" s="2">
        <v>7010</v>
      </c>
      <c r="F488" s="16" t="inlineStr">
        <is>
          <t xml:space="preserve">+</t>
        </is>
      </c>
      <c r="G488" s="4">
        <v>0.872</v>
      </c>
      <c r="H488" s="2">
        <v>5251</v>
      </c>
      <c r="I488" s="8" t="inlineStr">
        <is>
          <t xml:space="preserve">+</t>
        </is>
      </c>
      <c r="J488" s="4">
        <v>0.991</v>
      </c>
    </row>
    <row r="489">
      <c r="A489" s="5" t="inlineStr">
        <is>
          <t xml:space="preserve">BPTM-55-26S075016</t>
        </is>
      </c>
      <c r="B489" s="6" t="inlineStr">
        <is>
          <t xml:space="preserve">BPTM-55-26S075016</t>
        </is>
      </c>
      <c r="C489" s="6" t="inlineStr">
        <is>
          <t xml:space="preserve">AHL3NVDRX7_1</t>
        </is>
      </c>
      <c r="D489" s="15" t="inlineStr">
        <is>
          <t xml:space="preserve">MSI08</t>
        </is>
      </c>
      <c r="E489" s="2">
        <v>21133</v>
      </c>
      <c r="F489" s="16" t="inlineStr">
        <is>
          <t xml:space="preserve">+</t>
        </is>
      </c>
      <c r="G489" s="4">
        <v>2.628</v>
      </c>
      <c r="H489" s="2">
        <v>12778</v>
      </c>
      <c r="I489" s="8" t="inlineStr">
        <is>
          <t xml:space="preserve">+</t>
        </is>
      </c>
      <c r="J489" s="4">
        <v>2.412</v>
      </c>
    </row>
    <row r="490">
      <c r="A490" s="5" t="inlineStr">
        <is>
          <t xml:space="preserve">BPTM-55-26S075016</t>
        </is>
      </c>
      <c r="B490" s="6" t="inlineStr">
        <is>
          <t xml:space="preserve">BPTM-55-26S075016</t>
        </is>
      </c>
      <c r="C490" s="6" t="inlineStr">
        <is>
          <t xml:space="preserve">AHL3NVDRX7_1</t>
        </is>
      </c>
      <c r="D490" s="15" t="inlineStr">
        <is>
          <t xml:space="preserve">MSI09</t>
        </is>
      </c>
      <c r="E490" s="2">
        <v>8713</v>
      </c>
      <c r="F490" s="16" t="inlineStr">
        <is>
          <t xml:space="preserve">+</t>
        </is>
      </c>
      <c r="G490" s="4">
        <v>1.084</v>
      </c>
      <c r="H490" s="2">
        <v>5743</v>
      </c>
      <c r="I490" s="8" t="inlineStr">
        <is>
          <t xml:space="preserve">+</t>
        </is>
      </c>
      <c r="J490" s="4">
        <v>1.084</v>
      </c>
    </row>
    <row r="491">
      <c r="A491" s="5" t="inlineStr">
        <is>
          <t xml:space="preserve">BPTM-55-26S075016</t>
        </is>
      </c>
      <c r="B491" s="6" t="inlineStr">
        <is>
          <t xml:space="preserve">BPTM-55-26S075016</t>
        </is>
      </c>
      <c r="C491" s="6" t="inlineStr">
        <is>
          <t xml:space="preserve">AHL3NVDRX7_1</t>
        </is>
      </c>
      <c r="D491" s="15" t="inlineStr">
        <is>
          <t xml:space="preserve">MSI10</t>
        </is>
      </c>
      <c r="E491" s="2">
        <v>12220</v>
      </c>
      <c r="F491" s="16" t="inlineStr">
        <is>
          <t xml:space="preserve">+</t>
        </is>
      </c>
      <c r="G491" s="4">
        <v>1.52</v>
      </c>
      <c r="H491" s="2">
        <v>8266</v>
      </c>
      <c r="I491" s="8" t="inlineStr">
        <is>
          <t xml:space="preserve">+</t>
        </is>
      </c>
      <c r="J491" s="4">
        <v>1.56</v>
      </c>
    </row>
    <row r="492">
      <c r="A492" s="5" t="inlineStr">
        <is>
          <t xml:space="preserve">BPTM-55-26S075016</t>
        </is>
      </c>
      <c r="B492" s="6" t="inlineStr">
        <is>
          <t xml:space="preserve">BPTM-55-26S075016</t>
        </is>
      </c>
      <c r="C492" s="6" t="inlineStr">
        <is>
          <t xml:space="preserve">AHL3NVDRX7_1</t>
        </is>
      </c>
      <c r="D492" s="15" t="inlineStr">
        <is>
          <t xml:space="preserve">MSI11</t>
        </is>
      </c>
      <c r="E492" s="2">
        <v>9828</v>
      </c>
      <c r="F492" s="16" t="inlineStr">
        <is>
          <t xml:space="preserve">+</t>
        </is>
      </c>
      <c r="G492" s="4">
        <v>1.222</v>
      </c>
      <c r="H492" s="2">
        <v>7076</v>
      </c>
      <c r="I492" s="8" t="inlineStr">
        <is>
          <t xml:space="preserve">+</t>
        </is>
      </c>
      <c r="J492" s="4">
        <v>1.336</v>
      </c>
    </row>
    <row r="493">
      <c r="A493" s="5" t="inlineStr">
        <is>
          <t xml:space="preserve">BPTM-55-26S075016</t>
        </is>
      </c>
      <c r="B493" s="6" t="inlineStr">
        <is>
          <t xml:space="preserve">BPTM-55-26S075016</t>
        </is>
      </c>
      <c r="C493" s="6" t="inlineStr">
        <is>
          <t xml:space="preserve">AHL3NVDRX7_1</t>
        </is>
      </c>
      <c r="D493" s="15" t="inlineStr">
        <is>
          <t xml:space="preserve">MSI12</t>
        </is>
      </c>
      <c r="E493" s="2">
        <v>25487</v>
      </c>
      <c r="F493" s="16" t="inlineStr">
        <is>
          <t xml:space="preserve">+</t>
        </is>
      </c>
      <c r="G493" s="4">
        <v>3.169</v>
      </c>
      <c r="H493" s="2">
        <v>16836</v>
      </c>
      <c r="I493" s="8" t="inlineStr">
        <is>
          <t xml:space="preserve">+</t>
        </is>
      </c>
      <c r="J493" s="4">
        <v>3.178</v>
      </c>
    </row>
    <row r="494">
      <c r="A494" s="5" t="inlineStr">
        <is>
          <t xml:space="preserve">BPTM-55-26S075016</t>
        </is>
      </c>
      <c r="B494" s="6" t="inlineStr">
        <is>
          <t xml:space="preserve">BPTM-55-26S075016</t>
        </is>
      </c>
      <c r="C494" s="6" t="inlineStr">
        <is>
          <t xml:space="preserve">AHL3NVDRX7_1</t>
        </is>
      </c>
      <c r="D494" s="15" t="inlineStr">
        <is>
          <t xml:space="preserve">MSI13</t>
        </is>
      </c>
      <c r="E494" s="2">
        <v>7428</v>
      </c>
      <c r="F494" s="16" t="inlineStr">
        <is>
          <t xml:space="preserve">+</t>
        </is>
      </c>
      <c r="G494" s="4">
        <v>0.924</v>
      </c>
      <c r="H494" s="2">
        <v>4980</v>
      </c>
      <c r="I494" s="8" t="inlineStr">
        <is>
          <t xml:space="preserve">+</t>
        </is>
      </c>
      <c r="J494" s="4">
        <v>0.94</v>
      </c>
    </row>
    <row r="495">
      <c r="A495" s="5" t="inlineStr">
        <is>
          <t xml:space="preserve">BPTM-55-26S075016</t>
        </is>
      </c>
      <c r="B495" s="6" t="inlineStr">
        <is>
          <t xml:space="preserve">BPTM-55-26S075016</t>
        </is>
      </c>
      <c r="C495" s="6" t="inlineStr">
        <is>
          <t xml:space="preserve">AHL3NVDRX7_1</t>
        </is>
      </c>
      <c r="D495" s="15" t="inlineStr">
        <is>
          <t xml:space="preserve">MSI14</t>
        </is>
      </c>
      <c r="E495" s="2">
        <v>11908</v>
      </c>
      <c r="F495" s="16" t="inlineStr">
        <is>
          <t xml:space="preserve">+</t>
        </is>
      </c>
      <c r="G495" s="4">
        <v>1.481</v>
      </c>
      <c r="H495" s="2">
        <v>7858</v>
      </c>
      <c r="I495" s="8" t="inlineStr">
        <is>
          <t xml:space="preserve">+</t>
        </is>
      </c>
      <c r="J495" s="4">
        <v>1.483</v>
      </c>
    </row>
    <row r="496">
      <c r="A496" s="5" t="inlineStr">
        <is>
          <t xml:space="preserve">BPTM-55-26S075016</t>
        </is>
      </c>
      <c r="B496" s="6" t="inlineStr">
        <is>
          <t xml:space="preserve">BPTM-55-26S075016</t>
        </is>
      </c>
      <c r="C496" s="6" t="inlineStr">
        <is>
          <t xml:space="preserve">AHL3NVDRX7_1</t>
        </is>
      </c>
      <c r="D496" s="15" t="inlineStr">
        <is>
          <t xml:space="preserve">MSI15</t>
        </is>
      </c>
      <c r="E496" s="2">
        <v>8273</v>
      </c>
      <c r="F496" s="16" t="inlineStr">
        <is>
          <t xml:space="preserve">+</t>
        </is>
      </c>
      <c r="G496" s="4">
        <v>1.029</v>
      </c>
      <c r="H496" s="2">
        <v>5623</v>
      </c>
      <c r="I496" s="8" t="inlineStr">
        <is>
          <t xml:space="preserve">+</t>
        </is>
      </c>
      <c r="J496" s="4">
        <v>1.061</v>
      </c>
    </row>
    <row r="497">
      <c r="A497" s="5" t="inlineStr">
        <is>
          <t xml:space="preserve">BPTM-55-26S075016</t>
        </is>
      </c>
      <c r="B497" s="6" t="inlineStr">
        <is>
          <t xml:space="preserve">BPTM-55-26S075016</t>
        </is>
      </c>
      <c r="C497" s="6" t="inlineStr">
        <is>
          <t xml:space="preserve">AHL3NVDRX7_1</t>
        </is>
      </c>
      <c r="D497" s="15" t="inlineStr">
        <is>
          <t xml:space="preserve">MSI16</t>
        </is>
      </c>
      <c r="E497" s="2">
        <v>26335</v>
      </c>
      <c r="F497" s="16" t="inlineStr">
        <is>
          <t xml:space="preserve">+</t>
        </is>
      </c>
      <c r="G497" s="4">
        <v>3.275</v>
      </c>
      <c r="H497" s="2">
        <v>16947</v>
      </c>
      <c r="I497" s="8" t="inlineStr">
        <is>
          <t xml:space="preserve">+</t>
        </is>
      </c>
      <c r="J497" s="4">
        <v>3.199</v>
      </c>
    </row>
    <row r="498">
      <c r="A498" s="5" t="inlineStr">
        <is>
          <t xml:space="preserve">BPTM-55-26S075016</t>
        </is>
      </c>
      <c r="B498" s="6" t="inlineStr">
        <is>
          <t xml:space="preserve">BPTM-55-26S075016</t>
        </is>
      </c>
      <c r="C498" s="6" t="inlineStr">
        <is>
          <t xml:space="preserve">AHL3NVDRX7_1</t>
        </is>
      </c>
      <c r="D498" s="15" t="inlineStr">
        <is>
          <t xml:space="preserve">MSI17</t>
        </is>
      </c>
      <c r="E498" s="2">
        <v>11690</v>
      </c>
      <c r="F498" s="16" t="inlineStr">
        <is>
          <t xml:space="preserve">+</t>
        </is>
      </c>
      <c r="G498" s="4">
        <v>1.454</v>
      </c>
      <c r="H498" s="2">
        <v>8290</v>
      </c>
      <c r="I498" s="8" t="inlineStr">
        <is>
          <t xml:space="preserve">+</t>
        </is>
      </c>
      <c r="J498" s="4">
        <v>1.565</v>
      </c>
    </row>
    <row r="499">
      <c r="A499" s="5" t="inlineStr">
        <is>
          <t xml:space="preserve">BPTM-55-26S075016</t>
        </is>
      </c>
      <c r="B499" s="6" t="inlineStr">
        <is>
          <t xml:space="preserve">BPTM-55-26S075016</t>
        </is>
      </c>
      <c r="C499" s="6" t="inlineStr">
        <is>
          <t xml:space="preserve">AHL3NVDRX7_1</t>
        </is>
      </c>
      <c r="D499" s="15" t="inlineStr">
        <is>
          <t xml:space="preserve">MSI18</t>
        </is>
      </c>
      <c r="E499" s="2">
        <v>4480</v>
      </c>
      <c r="F499" s="16" t="inlineStr">
        <is>
          <t xml:space="preserve">+</t>
        </is>
      </c>
      <c r="G499" s="4">
        <v>0.557</v>
      </c>
      <c r="H499" s="2">
        <v>3212</v>
      </c>
      <c r="I499" s="8" t="inlineStr">
        <is>
          <t xml:space="preserve">+</t>
        </is>
      </c>
      <c r="J499" s="4">
        <v>0.606</v>
      </c>
    </row>
    <row r="500">
      <c r="A500" s="5" t="inlineStr">
        <is>
          <t xml:space="preserve">BPTM-55-26S075016</t>
        </is>
      </c>
      <c r="B500" s="6" t="inlineStr">
        <is>
          <t xml:space="preserve">BPTM-55-26S075016</t>
        </is>
      </c>
      <c r="C500" s="6" t="inlineStr">
        <is>
          <t xml:space="preserve">AHL3NVDRX7_1</t>
        </is>
      </c>
      <c r="D500" s="15" t="inlineStr">
        <is>
          <t xml:space="preserve">MSI19</t>
        </is>
      </c>
      <c r="E500" s="2">
        <v>8643</v>
      </c>
      <c r="F500" s="16" t="inlineStr">
        <is>
          <t xml:space="preserve">+</t>
        </is>
      </c>
      <c r="G500" s="4">
        <v>1.075</v>
      </c>
      <c r="H500" s="2">
        <v>6289</v>
      </c>
      <c r="I500" s="8" t="inlineStr">
        <is>
          <t xml:space="preserve">+</t>
        </is>
      </c>
      <c r="J500" s="4">
        <v>1.187</v>
      </c>
    </row>
    <row r="501">
      <c r="A501" s="5" t="inlineStr">
        <is>
          <t xml:space="preserve">BPTM-55-26S075016</t>
        </is>
      </c>
      <c r="B501" s="6" t="inlineStr">
        <is>
          <t xml:space="preserve">BPTM-55-26S075016</t>
        </is>
      </c>
      <c r="C501" s="6" t="inlineStr">
        <is>
          <t xml:space="preserve">AHL3NVDRX7_1</t>
        </is>
      </c>
      <c r="D501" s="15" t="inlineStr">
        <is>
          <t xml:space="preserve">MSI20</t>
        </is>
      </c>
      <c r="E501" s="2">
        <v>11616</v>
      </c>
      <c r="F501" s="16" t="inlineStr">
        <is>
          <t xml:space="preserve">+</t>
        </is>
      </c>
      <c r="G501" s="4">
        <v>1.445</v>
      </c>
      <c r="H501" s="2">
        <v>8127</v>
      </c>
      <c r="I501" s="8" t="inlineStr">
        <is>
          <t xml:space="preserve">+</t>
        </is>
      </c>
      <c r="J501" s="4">
        <v>1.534</v>
      </c>
    </row>
    <row r="502">
      <c r="A502" s="5" t="inlineStr">
        <is>
          <t xml:space="preserve">BPTM-55-26S075016</t>
        </is>
      </c>
      <c r="B502" s="6" t="inlineStr">
        <is>
          <t xml:space="preserve">BPTM-55-26S075016</t>
        </is>
      </c>
      <c r="C502" s="6" t="inlineStr">
        <is>
          <t xml:space="preserve">AHL3NVDRX7_1</t>
        </is>
      </c>
      <c r="D502" s="15" t="inlineStr">
        <is>
          <t xml:space="preserve">MSI21</t>
        </is>
      </c>
      <c r="E502" s="2">
        <v>4714</v>
      </c>
      <c r="F502" s="16" t="inlineStr">
        <is>
          <t xml:space="preserve">+</t>
        </is>
      </c>
      <c r="G502" s="4">
        <v>0.586</v>
      </c>
      <c r="H502" s="2">
        <v>3472</v>
      </c>
      <c r="I502" s="8" t="inlineStr">
        <is>
          <t xml:space="preserve">+</t>
        </is>
      </c>
      <c r="J502" s="4">
        <v>0.655</v>
      </c>
    </row>
    <row r="503">
      <c r="A503" s="5" t="inlineStr">
        <is>
          <t xml:space="preserve">BPTM-55-26S075016</t>
        </is>
      </c>
      <c r="B503" s="6" t="inlineStr">
        <is>
          <t xml:space="preserve">BPTM-55-26S075016</t>
        </is>
      </c>
      <c r="C503" s="6" t="inlineStr">
        <is>
          <t xml:space="preserve">AHL3NVDRX7_1</t>
        </is>
      </c>
      <c r="D503" s="15" t="inlineStr">
        <is>
          <t xml:space="preserve">MSI22</t>
        </is>
      </c>
      <c r="E503" s="2">
        <v>27560</v>
      </c>
      <c r="F503" s="16" t="inlineStr">
        <is>
          <t xml:space="preserve">+</t>
        </is>
      </c>
      <c r="G503" s="4">
        <v>3.427</v>
      </c>
      <c r="H503" s="2">
        <v>17421</v>
      </c>
      <c r="I503" s="8" t="inlineStr">
        <is>
          <t xml:space="preserve">+</t>
        </is>
      </c>
      <c r="J503" s="4">
        <v>3.289</v>
      </c>
    </row>
    <row r="504">
      <c r="A504" s="5" t="inlineStr">
        <is>
          <t xml:space="preserve">BPTM-55-26S075016</t>
        </is>
      </c>
      <c r="B504" s="6" t="inlineStr">
        <is>
          <t xml:space="preserve">BPTM-55-26S075016</t>
        </is>
      </c>
      <c r="C504" s="6" t="inlineStr">
        <is>
          <t xml:space="preserve">AHL3NVDRX7_1</t>
        </is>
      </c>
      <c r="D504" s="15" t="inlineStr">
        <is>
          <t xml:space="preserve">MSI23</t>
        </is>
      </c>
      <c r="E504" s="2">
        <v>12417</v>
      </c>
      <c r="F504" s="16" t="inlineStr">
        <is>
          <t xml:space="preserve">+</t>
        </is>
      </c>
      <c r="G504" s="4">
        <v>1.544</v>
      </c>
      <c r="H504" s="2">
        <v>8687</v>
      </c>
      <c r="I504" s="8" t="inlineStr">
        <is>
          <t xml:space="preserve">+</t>
        </is>
      </c>
      <c r="J504" s="4">
        <v>1.64</v>
      </c>
    </row>
    <row r="505">
      <c r="A505" s="5" t="inlineStr">
        <is>
          <t xml:space="preserve">BPTM-55-26S075016</t>
        </is>
      </c>
      <c r="B505" s="6" t="inlineStr">
        <is>
          <t xml:space="preserve">BPTM-55-26S075016</t>
        </is>
      </c>
      <c r="C505" s="6" t="inlineStr">
        <is>
          <t xml:space="preserve">AHL3NVDRX7_1</t>
        </is>
      </c>
      <c r="D505" s="15" t="inlineStr">
        <is>
          <t xml:space="preserve">MSI24</t>
        </is>
      </c>
      <c r="E505" s="2">
        <v>30094</v>
      </c>
      <c r="F505" s="16" t="inlineStr">
        <is>
          <t xml:space="preserve">+</t>
        </is>
      </c>
      <c r="G505" s="4">
        <v>3.742</v>
      </c>
      <c r="H505" s="2">
        <v>18934</v>
      </c>
      <c r="I505" s="8" t="inlineStr">
        <is>
          <t xml:space="preserve">+</t>
        </is>
      </c>
      <c r="J505" s="4">
        <v>3.574</v>
      </c>
    </row>
    <row r="506">
      <c r="A506" s="5" t="inlineStr">
        <is>
          <t xml:space="preserve">BPTM-55-26S075016</t>
        </is>
      </c>
      <c r="B506" s="6" t="inlineStr">
        <is>
          <t xml:space="preserve">BPTM-55-26S075016</t>
        </is>
      </c>
      <c r="C506" s="6" t="inlineStr">
        <is>
          <t xml:space="preserve">AHL3NVDRX7_1</t>
        </is>
      </c>
      <c r="D506" s="15" t="inlineStr">
        <is>
          <t xml:space="preserve">MSI25</t>
        </is>
      </c>
      <c r="E506" s="2">
        <v>10254</v>
      </c>
      <c r="F506" s="16" t="inlineStr">
        <is>
          <t xml:space="preserve">+</t>
        </is>
      </c>
      <c r="G506" s="4">
        <v>1.275</v>
      </c>
      <c r="H506" s="2">
        <v>7258</v>
      </c>
      <c r="I506" s="8" t="inlineStr">
        <is>
          <t xml:space="preserve">+</t>
        </is>
      </c>
      <c r="J506" s="4">
        <v>1.37</v>
      </c>
    </row>
    <row r="507">
      <c r="A507" s="5" t="inlineStr">
        <is>
          <t xml:space="preserve">BPTM-55-26S075016</t>
        </is>
      </c>
      <c r="B507" s="6" t="inlineStr">
        <is>
          <t xml:space="preserve">BPTM-55-26S075016</t>
        </is>
      </c>
      <c r="C507" s="6" t="inlineStr">
        <is>
          <t xml:space="preserve">AHL3NVDRX7_1</t>
        </is>
      </c>
      <c r="D507" s="15" t="inlineStr">
        <is>
          <t xml:space="preserve">MSI26</t>
        </is>
      </c>
      <c r="E507" s="2">
        <v>5879</v>
      </c>
      <c r="F507" s="16" t="inlineStr">
        <is>
          <t xml:space="preserve">+</t>
        </is>
      </c>
      <c r="G507" s="4">
        <v>0.731</v>
      </c>
      <c r="H507" s="2">
        <v>4212</v>
      </c>
      <c r="I507" s="8" t="inlineStr">
        <is>
          <t xml:space="preserve">+</t>
        </is>
      </c>
      <c r="J507" s="4">
        <v>0.795</v>
      </c>
    </row>
    <row r="508">
      <c r="A508" s="5" t="inlineStr">
        <is>
          <t xml:space="preserve">BPTM-55-26S075016</t>
        </is>
      </c>
      <c r="B508" s="6" t="inlineStr">
        <is>
          <t xml:space="preserve">BPTM-55-26S075016</t>
        </is>
      </c>
      <c r="C508" s="6" t="inlineStr">
        <is>
          <t xml:space="preserve">AHL3NVDRX7_1</t>
        </is>
      </c>
      <c r="D508" s="15" t="inlineStr">
        <is>
          <t xml:space="preserve">MSI27</t>
        </is>
      </c>
      <c r="E508" s="2">
        <v>22828</v>
      </c>
      <c r="F508" s="16" t="inlineStr">
        <is>
          <t xml:space="preserve">+</t>
        </is>
      </c>
      <c r="G508" s="4">
        <v>2.839</v>
      </c>
      <c r="H508" s="2">
        <v>15475</v>
      </c>
      <c r="I508" s="8" t="inlineStr">
        <is>
          <t xml:space="preserve">+</t>
        </is>
      </c>
      <c r="J508" s="4">
        <v>2.921</v>
      </c>
    </row>
    <row r="509">
      <c r="A509" s="5" t="inlineStr">
        <is>
          <t xml:space="preserve">BPTM-55-26S075016</t>
        </is>
      </c>
      <c r="B509" s="6" t="inlineStr">
        <is>
          <t xml:space="preserve">BPTM-55-26S075016</t>
        </is>
      </c>
      <c r="C509" s="6" t="inlineStr">
        <is>
          <t xml:space="preserve">AHL3NVDRX7_1</t>
        </is>
      </c>
      <c r="D509" s="15" t="inlineStr">
        <is>
          <t xml:space="preserve">MSI28</t>
        </is>
      </c>
      <c r="E509" s="2">
        <v>12656</v>
      </c>
      <c r="F509" s="16" t="inlineStr">
        <is>
          <t xml:space="preserve">+</t>
        </is>
      </c>
      <c r="G509" s="4">
        <v>1.574</v>
      </c>
      <c r="H509" s="2">
        <v>8916</v>
      </c>
      <c r="I509" s="8" t="inlineStr">
        <is>
          <t xml:space="preserve">+</t>
        </is>
      </c>
      <c r="J509" s="4">
        <v>1.683</v>
      </c>
    </row>
    <row r="510">
      <c r="A510" s="5" t="inlineStr">
        <is>
          <t xml:space="preserve">BPTM-55-26S075016</t>
        </is>
      </c>
      <c r="B510" s="6" t="inlineStr">
        <is>
          <t xml:space="preserve">BPTM-55-26S075016</t>
        </is>
      </c>
      <c r="C510" s="6" t="inlineStr">
        <is>
          <t xml:space="preserve">AHL3NVDRX7_1</t>
        </is>
      </c>
      <c r="D510" s="15" t="inlineStr">
        <is>
          <t xml:space="preserve">MSI29</t>
        </is>
      </c>
      <c r="E510" s="2">
        <v>18007</v>
      </c>
      <c r="F510" s="16" t="inlineStr">
        <is>
          <t xml:space="preserve">+</t>
        </is>
      </c>
      <c r="G510" s="4">
        <v>2.239</v>
      </c>
      <c r="H510" s="2">
        <v>11596</v>
      </c>
      <c r="I510" s="8" t="inlineStr">
        <is>
          <t xml:space="preserve">+</t>
        </is>
      </c>
      <c r="J510" s="4">
        <v>2.189</v>
      </c>
    </row>
    <row r="511">
      <c r="A511" s="5" t="inlineStr">
        <is>
          <t xml:space="preserve">BPTM-55-26S075016</t>
        </is>
      </c>
      <c r="B511" s="6" t="inlineStr">
        <is>
          <t xml:space="preserve">BPTM-55-26S075016</t>
        </is>
      </c>
      <c r="C511" s="6" t="inlineStr">
        <is>
          <t xml:space="preserve">AHL3NVDRX7_1</t>
        </is>
      </c>
      <c r="D511" s="15" t="inlineStr">
        <is>
          <t xml:space="preserve">MSI30</t>
        </is>
      </c>
      <c r="E511" s="2">
        <v>4252</v>
      </c>
      <c r="F511" s="16" t="inlineStr">
        <is>
          <t xml:space="preserve">+</t>
        </is>
      </c>
      <c r="G511" s="4">
        <v>0.529</v>
      </c>
      <c r="H511" s="2">
        <v>3111</v>
      </c>
      <c r="I511" s="8" t="inlineStr">
        <is>
          <t xml:space="preserve">+</t>
        </is>
      </c>
      <c r="J511" s="4">
        <v>0.587</v>
      </c>
    </row>
    <row r="512">
      <c r="A512" s="5" t="inlineStr">
        <is>
          <t xml:space="preserve">BPTM-55-26S075016</t>
        </is>
      </c>
      <c r="B512" s="6" t="inlineStr">
        <is>
          <t xml:space="preserve">BPTM-55-26S075016</t>
        </is>
      </c>
      <c r="C512" s="6" t="inlineStr">
        <is>
          <t xml:space="preserve">AHL3NVDRX7_1</t>
        </is>
      </c>
      <c r="D512" s="15" t="inlineStr">
        <is>
          <t xml:space="preserve">MSI31</t>
        </is>
      </c>
      <c r="E512" s="2">
        <v>12220</v>
      </c>
      <c r="F512" s="16" t="inlineStr">
        <is>
          <t xml:space="preserve">+</t>
        </is>
      </c>
      <c r="G512" s="4">
        <v>1.52</v>
      </c>
      <c r="H512" s="2">
        <v>8447</v>
      </c>
      <c r="I512" s="8" t="inlineStr">
        <is>
          <t xml:space="preserve">+</t>
        </is>
      </c>
      <c r="J512" s="4">
        <v>1.595</v>
      </c>
    </row>
    <row r="513">
      <c r="A513" s="5" t="inlineStr">
        <is>
          <t xml:space="preserve">BPTM-55-26S075016</t>
        </is>
      </c>
      <c r="B513" s="6" t="inlineStr">
        <is>
          <t xml:space="preserve">BPTM-55-26S075016</t>
        </is>
      </c>
      <c r="C513" s="6" t="inlineStr">
        <is>
          <t xml:space="preserve">AHL3NVDRX7_1</t>
        </is>
      </c>
      <c r="D513" s="15" t="inlineStr">
        <is>
          <t xml:space="preserve">MSI32</t>
        </is>
      </c>
      <c r="E513" s="2">
        <v>13835</v>
      </c>
      <c r="F513" s="16" t="inlineStr">
        <is>
          <t xml:space="preserve">+</t>
        </is>
      </c>
      <c r="G513" s="4">
        <v>1.72</v>
      </c>
      <c r="H513" s="2">
        <v>9584</v>
      </c>
      <c r="I513" s="8" t="inlineStr">
        <is>
          <t xml:space="preserve">+</t>
        </is>
      </c>
      <c r="J513" s="4">
        <v>1.809</v>
      </c>
    </row>
    <row r="514">
      <c r="A514" s="5" t="inlineStr">
        <is>
          <t xml:space="preserve">BPTM-55-26S075016</t>
        </is>
      </c>
      <c r="B514" s="6" t="inlineStr">
        <is>
          <t xml:space="preserve">BPTM-55-26S075016</t>
        </is>
      </c>
      <c r="C514" s="6" t="inlineStr">
        <is>
          <t xml:space="preserve">AHL3NVDRX7_1</t>
        </is>
      </c>
      <c r="D514" s="15" t="inlineStr">
        <is>
          <t xml:space="preserve">MSI33</t>
        </is>
      </c>
      <c r="E514" s="2">
        <v>9326</v>
      </c>
      <c r="F514" s="16" t="inlineStr">
        <is>
          <t xml:space="preserve">+</t>
        </is>
      </c>
      <c r="G514" s="4">
        <v>1.16</v>
      </c>
      <c r="H514" s="2">
        <v>6460</v>
      </c>
      <c r="I514" s="8" t="inlineStr">
        <is>
          <t xml:space="preserve">+</t>
        </is>
      </c>
      <c r="J514" s="4">
        <v>1.219</v>
      </c>
    </row>
    <row r="515">
      <c r="A515" s="5" t="inlineStr">
        <is>
          <t xml:space="preserve">BPTM-55-26S075016</t>
        </is>
      </c>
      <c r="B515" s="6" t="inlineStr">
        <is>
          <t xml:space="preserve">BPTM-55-26S075016</t>
        </is>
      </c>
      <c r="C515" s="6" t="inlineStr">
        <is>
          <t xml:space="preserve">AHL3NVDRX7_1</t>
        </is>
      </c>
      <c r="D515" s="15" t="inlineStr">
        <is>
          <t xml:space="preserve">MSI34</t>
        </is>
      </c>
      <c r="E515" s="2">
        <v>12986</v>
      </c>
      <c r="F515" s="16" t="inlineStr">
        <is>
          <t xml:space="preserve">+</t>
        </is>
      </c>
      <c r="G515" s="4">
        <v>1.615</v>
      </c>
      <c r="H515" s="2">
        <v>8726</v>
      </c>
      <c r="I515" s="8" t="inlineStr">
        <is>
          <t xml:space="preserve">+</t>
        </is>
      </c>
      <c r="J515" s="4">
        <v>1.647</v>
      </c>
    </row>
    <row r="516">
      <c r="A516" s="5" t="inlineStr">
        <is>
          <t xml:space="preserve">BPTM-55-26S075016</t>
        </is>
      </c>
      <c r="B516" s="6" t="inlineStr">
        <is>
          <t xml:space="preserve">BPTM-55-26S075016</t>
        </is>
      </c>
      <c r="C516" s="6" t="inlineStr">
        <is>
          <t xml:space="preserve">AHL3NVDRX7_1</t>
        </is>
      </c>
      <c r="D516" s="15" t="inlineStr">
        <is>
          <t xml:space="preserve">MSI35</t>
        </is>
      </c>
      <c r="E516" s="2">
        <v>14750</v>
      </c>
      <c r="F516" s="16" t="inlineStr">
        <is>
          <t xml:space="preserve">+</t>
        </is>
      </c>
      <c r="G516" s="4">
        <v>1.834</v>
      </c>
      <c r="H516" s="2">
        <v>9841</v>
      </c>
      <c r="I516" s="8" t="inlineStr">
        <is>
          <t xml:space="preserve">+</t>
        </is>
      </c>
      <c r="J516" s="4">
        <v>1.858</v>
      </c>
    </row>
    <row r="517">
      <c r="A517" s="5" t="inlineStr">
        <is>
          <t xml:space="preserve">BPTM-55-26S075016</t>
        </is>
      </c>
      <c r="B517" s="6" t="inlineStr">
        <is>
          <t xml:space="preserve">BPTM-55-26S075016</t>
        </is>
      </c>
      <c r="C517" s="6" t="inlineStr">
        <is>
          <t xml:space="preserve">AHL3NVDRX7_1</t>
        </is>
      </c>
      <c r="D517" s="15" t="inlineStr">
        <is>
          <t xml:space="preserve">MSI36</t>
        </is>
      </c>
      <c r="E517" s="2">
        <v>10987</v>
      </c>
      <c r="F517" s="16" t="inlineStr">
        <is>
          <t xml:space="preserve">+</t>
        </is>
      </c>
      <c r="G517" s="4">
        <v>1.366</v>
      </c>
      <c r="H517" s="2">
        <v>7573</v>
      </c>
      <c r="I517" s="8" t="inlineStr">
        <is>
          <t xml:space="preserve">+</t>
        </is>
      </c>
      <c r="J517" s="4">
        <v>1.43</v>
      </c>
    </row>
    <row r="518">
      <c r="A518" s="5" t="inlineStr">
        <is>
          <t xml:space="preserve">BPTM-55-26S075016</t>
        </is>
      </c>
      <c r="B518" s="6" t="inlineStr">
        <is>
          <t xml:space="preserve">BPTM-55-26S075016</t>
        </is>
      </c>
      <c r="C518" s="6" t="inlineStr">
        <is>
          <t xml:space="preserve">AHL3NVDRX7_1</t>
        </is>
      </c>
      <c r="D518" s="15" t="inlineStr">
        <is>
          <t xml:space="preserve">MSI37</t>
        </is>
      </c>
      <c r="E518" s="2">
        <v>6922</v>
      </c>
      <c r="F518" s="16" t="inlineStr">
        <is>
          <t xml:space="preserve">+</t>
        </is>
      </c>
      <c r="G518" s="4">
        <v>0.861</v>
      </c>
      <c r="H518" s="2">
        <v>4726</v>
      </c>
      <c r="I518" s="8" t="inlineStr">
        <is>
          <t xml:space="preserve">+</t>
        </is>
      </c>
      <c r="J518" s="4">
        <v>0.892</v>
      </c>
    </row>
    <row r="519">
      <c r="A519" s="5" t="inlineStr">
        <is>
          <t xml:space="preserve">BPTM-55-26S075016</t>
        </is>
      </c>
      <c r="B519" s="6" t="inlineStr">
        <is>
          <t xml:space="preserve">BPTM-55-26S075016</t>
        </is>
      </c>
      <c r="C519" s="6" t="inlineStr">
        <is>
          <t xml:space="preserve">AHL3NVDRX7_1</t>
        </is>
      </c>
      <c r="D519" s="15" t="inlineStr">
        <is>
          <t xml:space="preserve">MSI39</t>
        </is>
      </c>
      <c r="E519" s="2">
        <v>28802</v>
      </c>
      <c r="F519" s="16" t="inlineStr">
        <is>
          <t xml:space="preserve">+</t>
        </is>
      </c>
      <c r="G519" s="4">
        <v>3.582</v>
      </c>
      <c r="H519" s="2">
        <v>17992</v>
      </c>
      <c r="I519" s="8" t="inlineStr">
        <is>
          <t xml:space="preserve">+</t>
        </is>
      </c>
      <c r="J519" s="4">
        <v>3.396</v>
      </c>
    </row>
    <row r="520">
      <c r="A520" s="5" t="inlineStr">
        <is>
          <t xml:space="preserve">BPTM-55-26S075016</t>
        </is>
      </c>
      <c r="B520" s="6" t="inlineStr">
        <is>
          <t xml:space="preserve">BPTM-55-26S075016</t>
        </is>
      </c>
      <c r="C520" s="6" t="inlineStr">
        <is>
          <t xml:space="preserve">AHL3NVDRX7_1</t>
        </is>
      </c>
      <c r="D520" s="15" t="inlineStr">
        <is>
          <t xml:space="preserve">MSI40</t>
        </is>
      </c>
      <c r="E520" s="2">
        <v>4407</v>
      </c>
      <c r="F520" s="16" t="inlineStr">
        <is>
          <t xml:space="preserve">+</t>
        </is>
      </c>
      <c r="G520" s="4">
        <v>0.548</v>
      </c>
      <c r="H520" s="2">
        <v>3257</v>
      </c>
      <c r="I520" s="8" t="inlineStr">
        <is>
          <t xml:space="preserve">+</t>
        </is>
      </c>
      <c r="J520" s="4">
        <v>0.615</v>
      </c>
    </row>
    <row r="521">
      <c r="A521" s="5" t="inlineStr">
        <is>
          <t xml:space="preserve">BPTM-55-26S075016</t>
        </is>
      </c>
      <c r="B521" s="6" t="inlineStr">
        <is>
          <t xml:space="preserve">BPTM-55-26S075016</t>
        </is>
      </c>
      <c r="C521" s="6" t="inlineStr">
        <is>
          <t xml:space="preserve">AHL3NVDRX7_1</t>
        </is>
      </c>
      <c r="D521" s="15" t="inlineStr">
        <is>
          <t xml:space="preserve">MSI41</t>
        </is>
      </c>
      <c r="E521" s="2">
        <v>9165</v>
      </c>
      <c r="F521" s="16" t="inlineStr">
        <is>
          <t xml:space="preserve">+</t>
        </is>
      </c>
      <c r="G521" s="4">
        <v>1.14</v>
      </c>
      <c r="H521" s="2">
        <v>6493</v>
      </c>
      <c r="I521" s="8" t="inlineStr">
        <is>
          <t xml:space="preserve">+</t>
        </is>
      </c>
      <c r="J521" s="4">
        <v>1.226</v>
      </c>
    </row>
    <row r="522">
      <c r="A522" s="5" t="inlineStr">
        <is>
          <t xml:space="preserve">BPTM-55-26S075016</t>
        </is>
      </c>
      <c r="B522" s="6" t="inlineStr">
        <is>
          <t xml:space="preserve">BPTM-55-26S075016</t>
        </is>
      </c>
      <c r="C522" s="6" t="inlineStr">
        <is>
          <t xml:space="preserve">AHL3NVDRX7_1</t>
        </is>
      </c>
      <c r="D522" s="15" t="inlineStr">
        <is>
          <t xml:space="preserve">MSI42</t>
        </is>
      </c>
      <c r="E522" s="2">
        <v>10095</v>
      </c>
      <c r="F522" s="16" t="inlineStr">
        <is>
          <t xml:space="preserve">+</t>
        </is>
      </c>
      <c r="G522" s="4">
        <v>1.255</v>
      </c>
      <c r="H522" s="2">
        <v>7261</v>
      </c>
      <c r="I522" s="8" t="inlineStr">
        <is>
          <t xml:space="preserve">+</t>
        </is>
      </c>
      <c r="J522" s="4">
        <v>1.371</v>
      </c>
    </row>
    <row r="523">
      <c r="A523" s="5" t="inlineStr">
        <is>
          <t xml:space="preserve">BPTM-55-26S075016</t>
        </is>
      </c>
      <c r="B523" s="6" t="inlineStr">
        <is>
          <t xml:space="preserve">BPTM-55-26S075016</t>
        </is>
      </c>
      <c r="C523" s="6" t="inlineStr">
        <is>
          <t xml:space="preserve">AHL3NVDRX7_1</t>
        </is>
      </c>
      <c r="D523" s="15" t="inlineStr">
        <is>
          <t xml:space="preserve">MSI43</t>
        </is>
      </c>
      <c r="E523" s="2">
        <v>14556</v>
      </c>
      <c r="F523" s="16" t="inlineStr">
        <is>
          <t xml:space="preserve">+</t>
        </is>
      </c>
      <c r="G523" s="4">
        <v>1.81</v>
      </c>
      <c r="H523" s="2">
        <v>9897</v>
      </c>
      <c r="I523" s="8" t="inlineStr">
        <is>
          <t xml:space="preserve">+</t>
        </is>
      </c>
      <c r="J523" s="4">
        <v>1.868</v>
      </c>
    </row>
    <row r="524">
      <c r="A524" s="5" t="inlineStr">
        <is>
          <t xml:space="preserve">BPTM-55-26S075016</t>
        </is>
      </c>
      <c r="B524" s="6" t="inlineStr">
        <is>
          <t xml:space="preserve">BPTM-55-26S075016</t>
        </is>
      </c>
      <c r="C524" s="6" t="inlineStr">
        <is>
          <t xml:space="preserve">AHL3NVDRX7_1</t>
        </is>
      </c>
      <c r="D524" s="15" t="inlineStr">
        <is>
          <t xml:space="preserve">MSI44</t>
        </is>
      </c>
      <c r="E524" s="2">
        <v>6404</v>
      </c>
      <c r="F524" s="16" t="inlineStr">
        <is>
          <t xml:space="preserve">+</t>
        </is>
      </c>
      <c r="G524" s="4">
        <v>0.796</v>
      </c>
      <c r="H524" s="2">
        <v>4612</v>
      </c>
      <c r="I524" s="8" t="inlineStr">
        <is>
          <t xml:space="preserve">+</t>
        </is>
      </c>
      <c r="J524" s="4">
        <v>0.871</v>
      </c>
    </row>
    <row r="525">
      <c r="A525" s="5" t="inlineStr">
        <is>
          <t xml:space="preserve">BPTM-55-26S075016</t>
        </is>
      </c>
      <c r="B525" s="6" t="inlineStr">
        <is>
          <t xml:space="preserve">BPTM-55-26S075016</t>
        </is>
      </c>
      <c r="C525" s="6" t="inlineStr">
        <is>
          <t xml:space="preserve">AHL3NVDRX7_1</t>
        </is>
      </c>
      <c r="D525" s="15" t="inlineStr">
        <is>
          <t xml:space="preserve">MSI45</t>
        </is>
      </c>
      <c r="E525" s="2">
        <v>30911</v>
      </c>
      <c r="F525" s="16" t="inlineStr">
        <is>
          <t xml:space="preserve">+</t>
        </is>
      </c>
      <c r="G525" s="4">
        <v>3.844</v>
      </c>
      <c r="H525" s="2">
        <v>18778</v>
      </c>
      <c r="I525" s="8" t="inlineStr">
        <is>
          <t xml:space="preserve">+</t>
        </is>
      </c>
      <c r="J525" s="4">
        <v>3.545</v>
      </c>
    </row>
    <row r="526">
      <c r="A526" s="5" t="inlineStr">
        <is>
          <t xml:space="preserve">BPTM-55-26S075016</t>
        </is>
      </c>
      <c r="B526" s="6" t="inlineStr">
        <is>
          <t xml:space="preserve">BPTM-55-26S075016</t>
        </is>
      </c>
      <c r="C526" s="6" t="inlineStr">
        <is>
          <t xml:space="preserve">AHL3NVDRX7_1</t>
        </is>
      </c>
      <c r="D526" s="15" t="inlineStr">
        <is>
          <t xml:space="preserve">MSI46</t>
        </is>
      </c>
      <c r="E526" s="2">
        <v>6968</v>
      </c>
      <c r="F526" s="16" t="inlineStr">
        <is>
          <t xml:space="preserve">+</t>
        </is>
      </c>
      <c r="G526" s="4">
        <v>0.867</v>
      </c>
      <c r="H526" s="2">
        <v>4942</v>
      </c>
      <c r="I526" s="8" t="inlineStr">
        <is>
          <t xml:space="preserve">+</t>
        </is>
      </c>
      <c r="J526" s="4">
        <v>0.933</v>
      </c>
    </row>
    <row r="527">
      <c r="A527" s="5" t="inlineStr">
        <is>
          <t xml:space="preserve">BPTM-55-26S075016</t>
        </is>
      </c>
      <c r="B527" s="6" t="inlineStr">
        <is>
          <t xml:space="preserve">BPTM-55-26S075016</t>
        </is>
      </c>
      <c r="C527" s="6" t="inlineStr">
        <is>
          <t xml:space="preserve">AHL3NVDRX7_1</t>
        </is>
      </c>
      <c r="D527" s="15" t="inlineStr">
        <is>
          <t xml:space="preserve">MSI47</t>
        </is>
      </c>
      <c r="E527" s="2">
        <v>14455</v>
      </c>
      <c r="F527" s="16" t="inlineStr">
        <is>
          <t xml:space="preserve">+</t>
        </is>
      </c>
      <c r="G527" s="4">
        <v>1.798</v>
      </c>
      <c r="H527" s="2">
        <v>9521</v>
      </c>
      <c r="I527" s="8" t="inlineStr">
        <is>
          <t xml:space="preserve">+</t>
        </is>
      </c>
      <c r="J527" s="4">
        <v>1.797</v>
      </c>
    </row>
    <row r="528">
      <c r="A528" s="5" t="inlineStr">
        <is>
          <t xml:space="preserve">BPTM-55-26S075016</t>
        </is>
      </c>
      <c r="B528" s="6" t="inlineStr">
        <is>
          <t xml:space="preserve">BPTM-55-26S075016</t>
        </is>
      </c>
      <c r="C528" s="6" t="inlineStr">
        <is>
          <t xml:space="preserve">AHL3NVDRX7_1</t>
        </is>
      </c>
      <c r="D528" s="15" t="inlineStr">
        <is>
          <t xml:space="preserve">MSI48</t>
        </is>
      </c>
      <c r="E528" s="2">
        <v>12007</v>
      </c>
      <c r="F528" s="16" t="inlineStr">
        <is>
          <t xml:space="preserve">+</t>
        </is>
      </c>
      <c r="G528" s="4">
        <v>1.493</v>
      </c>
      <c r="H528" s="2">
        <v>7902</v>
      </c>
      <c r="I528" s="8" t="inlineStr">
        <is>
          <t xml:space="preserve">+</t>
        </is>
      </c>
      <c r="J528" s="4">
        <v>1.492</v>
      </c>
    </row>
    <row r="529">
      <c r="A529" s="5" t="inlineStr">
        <is>
          <t xml:space="preserve">BPTM-55-26S075016</t>
        </is>
      </c>
      <c r="B529" s="6" t="inlineStr">
        <is>
          <t xml:space="preserve">BPTM-55-26S075016</t>
        </is>
      </c>
      <c r="C529" s="6" t="inlineStr">
        <is>
          <t xml:space="preserve">AHL3NVDRX7_1</t>
        </is>
      </c>
      <c r="D529" s="15" t="inlineStr">
        <is>
          <t xml:space="preserve">MSI49</t>
        </is>
      </c>
      <c r="E529" s="2">
        <v>20262</v>
      </c>
      <c r="F529" s="16" t="inlineStr">
        <is>
          <t xml:space="preserve">+</t>
        </is>
      </c>
      <c r="G529" s="4">
        <v>2.52</v>
      </c>
      <c r="H529" s="2">
        <v>12839</v>
      </c>
      <c r="I529" s="8" t="inlineStr">
        <is>
          <t xml:space="preserve">+</t>
        </is>
      </c>
      <c r="J529" s="4">
        <v>2.424</v>
      </c>
    </row>
    <row r="530">
      <c r="A530" s="5" t="inlineStr">
        <is>
          <t xml:space="preserve">BPTM-55-26S075016</t>
        </is>
      </c>
      <c r="B530" s="6" t="inlineStr">
        <is>
          <t xml:space="preserve">BPTM-55-26S075016</t>
        </is>
      </c>
      <c r="C530" s="6" t="inlineStr">
        <is>
          <t xml:space="preserve">AHL3NVDRX7_1</t>
        </is>
      </c>
      <c r="D530" s="15" t="inlineStr">
        <is>
          <t xml:space="preserve">MSI50</t>
        </is>
      </c>
      <c r="E530" s="2">
        <v>8275</v>
      </c>
      <c r="F530" s="16" t="inlineStr">
        <is>
          <t xml:space="preserve">+</t>
        </is>
      </c>
      <c r="G530" s="4">
        <v>1.029</v>
      </c>
      <c r="H530" s="2">
        <v>5491</v>
      </c>
      <c r="I530" s="8" t="inlineStr">
        <is>
          <t xml:space="preserve">+</t>
        </is>
      </c>
      <c r="J530" s="4">
        <v>1.037</v>
      </c>
    </row>
    <row r="531">
      <c r="A531" s="5" t="inlineStr">
        <is>
          <t xml:space="preserve">BPTM-55-26S075016</t>
        </is>
      </c>
      <c r="B531" s="6" t="inlineStr">
        <is>
          <t xml:space="preserve">BPTM-55-26S075016</t>
        </is>
      </c>
      <c r="C531" s="6" t="inlineStr">
        <is>
          <t xml:space="preserve">AHL3NVDRX7_1</t>
        </is>
      </c>
      <c r="D531" s="15" t="inlineStr">
        <is>
          <t xml:space="preserve">MSI51</t>
        </is>
      </c>
      <c r="E531" s="2">
        <v>17729</v>
      </c>
      <c r="F531" s="16" t="inlineStr">
        <is>
          <t xml:space="preserve">+</t>
        </is>
      </c>
      <c r="G531" s="4">
        <v>2.205</v>
      </c>
      <c r="H531" s="2">
        <v>11711</v>
      </c>
      <c r="I531" s="8" t="inlineStr">
        <is>
          <t xml:space="preserve">+</t>
        </is>
      </c>
      <c r="J531" s="4">
        <v>2.211</v>
      </c>
    </row>
    <row r="532">
      <c r="A532" s="5" t="inlineStr">
        <is>
          <t xml:space="preserve">BPTM-55-26S075016</t>
        </is>
      </c>
      <c r="B532" s="6" t="inlineStr">
        <is>
          <t xml:space="preserve">BPTM-55-26S075016</t>
        </is>
      </c>
      <c r="C532" s="6" t="inlineStr">
        <is>
          <t xml:space="preserve">AHL3NVDRX7_1</t>
        </is>
      </c>
      <c r="D532" s="15" t="inlineStr">
        <is>
          <t xml:space="preserve">MSI52</t>
        </is>
      </c>
      <c r="E532" s="2">
        <v>6322</v>
      </c>
      <c r="F532" s="16" t="inlineStr">
        <is>
          <t xml:space="preserve">+</t>
        </is>
      </c>
      <c r="G532" s="4">
        <v>0.786</v>
      </c>
      <c r="H532" s="2">
        <v>4433</v>
      </c>
      <c r="I532" s="8" t="inlineStr">
        <is>
          <t xml:space="preserve">+</t>
        </is>
      </c>
      <c r="J532" s="4">
        <v>0.837</v>
      </c>
    </row>
    <row r="533">
      <c r="A533" s="5" t="inlineStr">
        <is>
          <t xml:space="preserve">BPTM-55-26S075016</t>
        </is>
      </c>
      <c r="B533" s="6" t="inlineStr">
        <is>
          <t xml:space="preserve">BPTM-55-26S075016</t>
        </is>
      </c>
      <c r="C533" s="6" t="inlineStr">
        <is>
          <t xml:space="preserve">AHL3NVDRX7_1</t>
        </is>
      </c>
      <c r="D533" s="15" t="inlineStr">
        <is>
          <t xml:space="preserve">MSI53</t>
        </is>
      </c>
      <c r="E533" s="2">
        <v>15665</v>
      </c>
      <c r="F533" s="16" t="inlineStr">
        <is>
          <t xml:space="preserve">+</t>
        </is>
      </c>
      <c r="G533" s="4">
        <v>1.948</v>
      </c>
      <c r="H533" s="2">
        <v>10254</v>
      </c>
      <c r="I533" s="8" t="inlineStr">
        <is>
          <t xml:space="preserve">+</t>
        </is>
      </c>
      <c r="J533" s="4">
        <v>1.936</v>
      </c>
    </row>
    <row r="534">
      <c r="A534" s="5" t="inlineStr">
        <is>
          <t xml:space="preserve">BPTM-55-26S075016</t>
        </is>
      </c>
      <c r="B534" s="6" t="inlineStr">
        <is>
          <t xml:space="preserve">BPTM-55-26S075016</t>
        </is>
      </c>
      <c r="C534" s="6" t="inlineStr">
        <is>
          <t xml:space="preserve">AHL3NVDRX7_1</t>
        </is>
      </c>
      <c r="D534" s="15" t="inlineStr">
        <is>
          <t xml:space="preserve">MSI54</t>
        </is>
      </c>
      <c r="E534" s="2">
        <v>13801</v>
      </c>
      <c r="F534" s="16" t="inlineStr">
        <is>
          <t xml:space="preserve">+</t>
        </is>
      </c>
      <c r="G534" s="4">
        <v>1.716</v>
      </c>
      <c r="H534" s="2">
        <v>9487</v>
      </c>
      <c r="I534" s="8" t="inlineStr">
        <is>
          <t xml:space="preserve">+</t>
        </is>
      </c>
      <c r="J534" s="4">
        <v>1.791</v>
      </c>
    </row>
    <row r="535">
      <c r="A535" s="5" t="inlineStr">
        <is>
          <t xml:space="preserve">BPTM-55-26S075016</t>
        </is>
      </c>
      <c r="B535" s="6" t="inlineStr">
        <is>
          <t xml:space="preserve">BPTM-55-26S075016</t>
        </is>
      </c>
      <c r="C535" s="6" t="inlineStr">
        <is>
          <t xml:space="preserve">AHL3NVDRX7_1</t>
        </is>
      </c>
      <c r="D535" s="15" t="inlineStr">
        <is>
          <t xml:space="preserve">MSI55</t>
        </is>
      </c>
      <c r="E535" s="2">
        <v>10920</v>
      </c>
      <c r="F535" s="16" t="inlineStr">
        <is>
          <t xml:space="preserve">+</t>
        </is>
      </c>
      <c r="G535" s="4">
        <v>1.358</v>
      </c>
      <c r="H535" s="2">
        <v>7878</v>
      </c>
      <c r="I535" s="8" t="inlineStr">
        <is>
          <t xml:space="preserve">+</t>
        </is>
      </c>
      <c r="J535" s="4">
        <v>1.487</v>
      </c>
    </row>
    <row r="536">
      <c r="A536" s="5" t="inlineStr">
        <is>
          <t xml:space="preserve">BPTM-55-26S075016</t>
        </is>
      </c>
      <c r="B536" s="6" t="inlineStr">
        <is>
          <t xml:space="preserve">BPTM-55-26S075016</t>
        </is>
      </c>
      <c r="C536" s="6" t="inlineStr">
        <is>
          <t xml:space="preserve">AHL3NVDRX7_1</t>
        </is>
      </c>
      <c r="D536" s="15" t="inlineStr">
        <is>
          <t xml:space="preserve">Total</t>
        </is>
      </c>
      <c r="E536" s="4">
        <v>8041.53</v>
      </c>
      <c r="F536" s="3">
        <v>0.9644</v>
      </c>
      <c r="G536" s="4">
        <v>0.677</v>
      </c>
      <c r="H536" s="4">
        <v>5297.42</v>
      </c>
      <c r="I536" s="3">
        <v>0.97</v>
      </c>
      <c r="J536" s="4">
        <v>0.616</v>
      </c>
    </row>
  </sheetData>
  <autoFilter ref="A1:J53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1"/>
    <col min="5" max="5" hidden="0" bestFit="0" customWidth="1" width="18.000000" style="18"/>
    <col min="6" max="6" hidden="0" bestFit="0" customWidth="1" width="18.000000" style="18"/>
    <col min="7" max="7" hidden="0" bestFit="0" customWidth="1" width="10.000000" style="11"/>
    <col min="8" max="8" hidden="0" bestFit="0" customWidth="1" width="10.000000" style="11"/>
    <col min="9" max="9" hidden="0" bestFit="0" customWidth="1" width="35.000000" style="19"/>
    <col min="10" max="10" hidden="0" bestFit="0" customWidth="1" width="30.000000" style="20"/>
    <col min="11" max="11" hidden="0" bestFit="0" customWidth="1" width="10.000000" style="11"/>
    <col min="12" max="12" hidden="0" bestFit="0" customWidth="1" width="10.000000" style="11"/>
    <col min="13" max="13" hidden="0" bestFit="0" customWidth="1" width="11.600000" style="9"/>
    <col min="14" max="14" hidden="0" bestFit="0" customWidth="1" width="10.000000" style="11"/>
    <col min="15" max="15" hidden="0" bestFit="0" customWidth="1" width="30.000000" style="20"/>
    <col min="16" max="16" hidden="0" bestFit="0" customWidth="1" width="55.000000" style="21"/>
    <col min="17" max="17" hidden="0" bestFit="0" customWidth="1" width="17.400000" style="13"/>
    <col min="18" max="18" hidden="0" bestFit="0" customWidth="1" width="10.000000" style="11"/>
    <col min="19" max="19" hidden="0" bestFit="0" customWidth="1" width="10.000000" style="22"/>
    <col min="20" max="20" hidden="0" bestFit="0" customWidth="1" width="14.500000" style="23"/>
    <col min="21" max="21" hidden="0" bestFit="0" customWidth="1" width="14.500000" style="23"/>
    <col min="22" max="22" hidden="0" bestFit="0" customWidth="1" width="14.500000" style="23"/>
    <col min="23" max="23" hidden="0" bestFit="0" customWidth="1" width="14.500000" style="23"/>
    <col min="24" max="24" hidden="0" bestFit="0" customWidth="1" width="14.500000" style="23"/>
    <col min="25" max="25" hidden="0" bestFit="0" customWidth="1" width="10.150000" style="14"/>
    <col min="26" max="26" hidden="0" bestFit="0" customWidth="1" width="20.300000" style="16"/>
    <col min="27" max="27" hidden="0" bestFit="0" customWidth="1" width="26.000000" style="5"/>
    <col min="28" max="28" hidden="0" bestFit="0" customWidth="1" width="26.000000" style="5"/>
    <col min="29" max="29" hidden="0" bestFit="0" customWidth="1" width="33.000000" style="24"/>
    <col min="30" max="30" hidden="0" bestFit="0" customWidth="1" width="10.000000" style="11"/>
    <col min="31" max="31" hidden="0" bestFit="0" customWidth="1" width="10.000000" style="11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1" t="inlineStr">
        <is>
          <t xml:space="preserve">Chr</t>
        </is>
      </c>
      <c r="E1" s="18" t="inlineStr">
        <is>
          <t xml:space="preserve">Start</t>
        </is>
      </c>
      <c r="F1" s="18" t="inlineStr">
        <is>
          <t xml:space="preserve">End</t>
        </is>
      </c>
      <c r="G1" s="11" t="inlineStr">
        <is>
          <t xml:space="preserve">Ref</t>
        </is>
      </c>
      <c r="H1" s="11" t="inlineStr">
        <is>
          <t xml:space="preserve">Alt</t>
        </is>
      </c>
      <c r="I1" s="19" t="inlineStr">
        <is>
          <t xml:space="preserve">Context</t>
        </is>
      </c>
      <c r="J1" s="20" t="inlineStr">
        <is>
          <t xml:space="preserve">Tags</t>
        </is>
      </c>
      <c r="K1" s="11" t="inlineStr">
        <is>
          <t xml:space="preserve">Depth</t>
        </is>
      </c>
      <c r="L1" s="11" t="inlineStr">
        <is>
          <t xml:space="preserve">Freq</t>
        </is>
      </c>
      <c r="M1" s="9" t="inlineStr">
        <is>
          <t xml:space="preserve">AltDepth</t>
        </is>
      </c>
      <c r="N1" s="11" t="inlineStr">
        <is>
          <t xml:space="preserve">Gene</t>
        </is>
      </c>
      <c r="O1" s="20" t="inlineStr">
        <is>
          <t xml:space="preserve">Type</t>
        </is>
      </c>
      <c r="P1" s="21" t="inlineStr">
        <is>
          <t xml:space="preserve">CDSChange</t>
        </is>
      </c>
      <c r="Q1" s="13" t="inlineStr">
        <is>
          <t xml:space="preserve">Significance</t>
        </is>
      </c>
      <c r="R1" s="11" t="inlineStr">
        <is>
          <t xml:space="preserve">dbSNP</t>
        </is>
      </c>
      <c r="S1" s="22" t="inlineStr">
        <is>
          <t xml:space="preserve">1KG</t>
        </is>
      </c>
      <c r="T1" s="23" t="inlineStr">
        <is>
          <t xml:space="preserve">1KG_EAS_AF</t>
        </is>
      </c>
      <c r="U1" s="23" t="inlineStr">
        <is>
          <t xml:space="preserve">1KG_EUR_AF</t>
        </is>
      </c>
      <c r="V1" s="23" t="inlineStr">
        <is>
          <t xml:space="preserve">1KG_AMR_AF</t>
        </is>
      </c>
      <c r="W1" s="23" t="inlineStr">
        <is>
          <t xml:space="preserve">1KG_SAS_AF</t>
        </is>
      </c>
      <c r="X1" s="23" t="inlineStr">
        <is>
          <t xml:space="preserve">1KG_AFR_AF</t>
        </is>
      </c>
      <c r="Y1" s="14" t="inlineStr">
        <is>
          <t xml:space="preserve">ClinVar</t>
        </is>
      </c>
      <c r="Z1" s="16" t="inlineStr">
        <is>
          <t xml:space="preserve">ClinVar_CLNSIG</t>
        </is>
      </c>
      <c r="AA1" s="5" t="inlineStr">
        <is>
          <t xml:space="preserve">COSMIC</t>
        </is>
      </c>
      <c r="AB1" s="5" t="inlineStr">
        <is>
          <t xml:space="preserve">PMID</t>
        </is>
      </c>
      <c r="AC1" s="24" t="inlineStr">
        <is>
          <t xml:space="preserve">Amplicon</t>
        </is>
      </c>
      <c r="AD1" s="11" t="inlineStr">
        <is>
          <t xml:space="preserve">Plus</t>
        </is>
      </c>
      <c r="AE1" s="11" t="inlineStr">
        <is>
          <t xml:space="preserve">Minus</t>
        </is>
      </c>
    </row>
    <row r="2">
      <c r="A2" s="5" t="inlineStr">
        <is>
          <t xml:space="preserve">BPTM-55-26S075016</t>
        </is>
      </c>
      <c r="B2" s="6" t="inlineStr">
        <is>
          <t xml:space="preserve">BPTM-55-26S075016</t>
        </is>
      </c>
      <c r="C2" s="6" t="inlineStr">
        <is>
          <t xml:space="preserve">AHL3NVDRX7_1</t>
        </is>
      </c>
      <c r="D2" s="11" t="inlineStr">
        <is>
          <t xml:space="preserve">chr2</t>
        </is>
      </c>
      <c r="E2" s="2">
        <v>47600591</v>
      </c>
      <c r="F2" s="2">
        <v>47600591</v>
      </c>
      <c r="G2" s="11" t="inlineStr">
        <is>
          <t xml:space="preserve">T</t>
        </is>
      </c>
      <c r="H2" s="11" t="inlineStr">
        <is>
          <t xml:space="preserve">-</t>
        </is>
      </c>
      <c r="I2" s="19" t="inlineStr">
        <is>
          <t xml:space="preserve">ATTTTTTTTT-T-AATTTTCTAG</t>
        </is>
      </c>
      <c r="J2" s="20" t="inlineStr">
        <is>
          <t xml:space="preserve">PASS;Polymer;Polymorphism;WBC</t>
        </is>
      </c>
      <c r="K2" s="2">
        <v>6451</v>
      </c>
      <c r="L2" s="3">
        <v>0.0482</v>
      </c>
      <c r="M2" s="2">
        <v>311</v>
      </c>
      <c r="N2" s="11" t="inlineStr">
        <is>
          <t xml:space="preserve">EPCAM</t>
        </is>
      </c>
      <c r="O2" s="20" t="inlineStr">
        <is>
          <t xml:space="preserve">Intronic</t>
        </is>
      </c>
      <c r="P2" s="21" t="inlineStr">
        <is>
          <t xml:space="preserve">NM_002354.3:intron1:c.77-11del:p.?:p.?</t>
        </is>
      </c>
      <c r="Q2" s="2">
        <v>1</v>
      </c>
      <c r="R2" s="17">
        <f>HYPERLINK("https://grch37.ensembl.org/Homo_sapiens/Variation/Citations?v=rs200383246", "rs200383246") </f>
      </c>
      <c r="S2" s="22" t="inlineStr">
        <is>
          <t xml:space="preserve">NA</t>
        </is>
      </c>
      <c r="T2" s="23" t="inlineStr">
        <is>
          <t xml:space="preserve">NA</t>
        </is>
      </c>
      <c r="U2" s="23" t="inlineStr">
        <is>
          <t xml:space="preserve">NA</t>
        </is>
      </c>
      <c r="V2" s="23" t="inlineStr">
        <is>
          <t xml:space="preserve">NA</t>
        </is>
      </c>
      <c r="W2" s="23" t="inlineStr">
        <is>
          <t xml:space="preserve">NA</t>
        </is>
      </c>
      <c r="X2" s="23" t="inlineStr">
        <is>
          <t xml:space="preserve">NA</t>
        </is>
      </c>
      <c r="Y2" s="14" t="inlineStr">
        <is>
          <t xml:space="preserve">NA</t>
        </is>
      </c>
      <c r="Z2" s="16" t="inlineStr">
        <is>
          <t xml:space="preserve">NA</t>
        </is>
      </c>
      <c r="AA2" s="17">
        <f>HYPERLINK("https://grch37-cancer.sanger.ac.uk/cosmic/search?q=COSN27598124", "COSN27598124") </f>
      </c>
      <c r="AB2" s="5" t="inlineStr">
        <is>
          <t xml:space="preserve">NA</t>
        </is>
      </c>
      <c r="AC2" s="24" t="inlineStr">
        <is>
          <t xml:space="preserve">W002_EPCAM_E02_01</t>
        </is>
      </c>
      <c r="AD2" s="2">
        <v>0</v>
      </c>
      <c r="AE2" s="2">
        <v>311</v>
      </c>
    </row>
    <row r="3">
      <c r="A3" s="5" t="inlineStr">
        <is>
          <t xml:space="preserve">BPTM-55-26S075016</t>
        </is>
      </c>
      <c r="B3" s="6" t="inlineStr">
        <is>
          <t xml:space="preserve">BPTM-55-26S075016</t>
        </is>
      </c>
      <c r="C3" s="6" t="inlineStr">
        <is>
          <t xml:space="preserve">AHL3NVDRX7_1</t>
        </is>
      </c>
      <c r="D3" s="11" t="inlineStr">
        <is>
          <t xml:space="preserve">chr2</t>
        </is>
      </c>
      <c r="E3" s="2">
        <v>47601106</v>
      </c>
      <c r="F3" s="2">
        <v>47601106</v>
      </c>
      <c r="G3" s="11" t="inlineStr">
        <is>
          <t xml:space="preserve">T</t>
        </is>
      </c>
      <c r="H3" s="11" t="inlineStr">
        <is>
          <t xml:space="preserve">C</t>
        </is>
      </c>
      <c r="I3" s="19" t="inlineStr">
        <is>
          <t xml:space="preserve">GGCACCTCCA-T-GTGCTGGTGT</t>
        </is>
      </c>
      <c r="J3" s="20" t="inlineStr">
        <is>
          <t xml:space="preserve">PASS;Polymorphism;WBC</t>
        </is>
      </c>
      <c r="K3" s="2">
        <v>13922</v>
      </c>
      <c r="L3" s="3">
        <v>0.4874</v>
      </c>
      <c r="M3" s="2">
        <v>6785</v>
      </c>
      <c r="N3" s="11" t="inlineStr">
        <is>
          <t xml:space="preserve">EPCAM</t>
        </is>
      </c>
      <c r="O3" s="20" t="inlineStr">
        <is>
          <t xml:space="preserve">nonSynonymous_Substitution</t>
        </is>
      </c>
      <c r="P3" s="21" t="inlineStr">
        <is>
          <t xml:space="preserve">NM_002354.3:exon3:c.344T&gt;C:p.(M115T):p.(Met115Thr)</t>
        </is>
      </c>
      <c r="Q3" s="2">
        <v>1</v>
      </c>
      <c r="R3" s="17">
        <f>HYPERLINK("https://grch37.ensembl.org/Homo_sapiens/Variation/Citations?v=rs1126497", "rs1126497") </f>
      </c>
      <c r="S3" s="3">
        <v>0.666134</v>
      </c>
      <c r="T3" s="3">
        <v>0.8323</v>
      </c>
      <c r="U3" s="3">
        <v>0.4692</v>
      </c>
      <c r="V3" s="3">
        <v>0.5159</v>
      </c>
      <c r="W3" s="3">
        <v>0.5031</v>
      </c>
      <c r="X3" s="3">
        <v>0.8888</v>
      </c>
      <c r="Y3" s="17">
        <f>HYPERLINK("https://www.ncbi.nlm.nih.gov/clinvar/variation/183700", "183700") </f>
      </c>
      <c r="Z3" s="16" t="inlineStr">
        <is>
          <t xml:space="preserve">Benign</t>
        </is>
      </c>
      <c r="AA3" s="17">
        <f>HYPERLINK("https://grch37-cancer.sanger.ac.uk/cosmic/search?q=COSM3927762", "COSM3927762") </f>
      </c>
      <c r="AB3" s="5" t="inlineStr">
        <is>
          <t xml:space="preserve">31636198,33056981</t>
        </is>
      </c>
      <c r="AC3" s="24" t="inlineStr">
        <is>
          <t xml:space="preserve">*W005_EPCAM_E03_02;W006_EPCAM_E03_03</t>
        </is>
      </c>
      <c r="AD3" s="2">
        <v>4615</v>
      </c>
      <c r="AE3" s="2">
        <v>2170</v>
      </c>
    </row>
    <row r="4">
      <c r="A4" s="5" t="inlineStr">
        <is>
          <t xml:space="preserve">BPTM-55-26S075016</t>
        </is>
      </c>
      <c r="B4" s="6" t="inlineStr">
        <is>
          <t xml:space="preserve">BPTM-55-26S075016</t>
        </is>
      </c>
      <c r="C4" s="6" t="inlineStr">
        <is>
          <t xml:space="preserve">AHL3NVDRX7_1</t>
        </is>
      </c>
      <c r="D4" s="11" t="inlineStr">
        <is>
          <t xml:space="preserve">chr2</t>
        </is>
      </c>
      <c r="E4" s="2">
        <v>47604176</v>
      </c>
      <c r="F4" s="2">
        <v>47604176</v>
      </c>
      <c r="G4" s="11" t="inlineStr">
        <is>
          <t xml:space="preserve">C</t>
        </is>
      </c>
      <c r="H4" s="11" t="inlineStr">
        <is>
          <t xml:space="preserve">T</t>
        </is>
      </c>
      <c r="I4" s="19" t="inlineStr">
        <is>
          <t xml:space="preserve">GAGATCACAA-C-GCGTTATCAA</t>
        </is>
      </c>
      <c r="J4" s="20" t="inlineStr">
        <is>
          <t xml:space="preserve">PASS;Polymorphism;WBC</t>
        </is>
      </c>
      <c r="K4" s="2">
        <v>2604</v>
      </c>
      <c r="L4" s="3">
        <v>0.0445</v>
      </c>
      <c r="M4" s="2">
        <v>116</v>
      </c>
      <c r="N4" s="11" t="inlineStr">
        <is>
          <t xml:space="preserve">EPCAM</t>
        </is>
      </c>
      <c r="O4" s="20" t="inlineStr">
        <is>
          <t xml:space="preserve">nonSynonymous_Substitution</t>
        </is>
      </c>
      <c r="P4" s="21" t="inlineStr">
        <is>
          <t xml:space="preserve">NM_002354.3:exon5:c.515C&gt;T:p.(T172M):p.(Thr172Met)</t>
        </is>
      </c>
      <c r="Q4" s="2">
        <v>1</v>
      </c>
      <c r="R4" s="17">
        <f>HYPERLINK("https://grch37.ensembl.org/Homo_sapiens/Variation/Citations?v=rs74531854", "rs74531854") </f>
      </c>
      <c r="S4" s="3">
        <v>0.0141773</v>
      </c>
      <c r="T4" s="3">
        <v>0.0685</v>
      </c>
      <c r="U4" s="23" t="inlineStr">
        <is>
          <t xml:space="preserve">-</t>
        </is>
      </c>
      <c r="V4" s="23" t="inlineStr">
        <is>
          <t xml:space="preserve">-</t>
        </is>
      </c>
      <c r="W4" s="3">
        <v>0.001</v>
      </c>
      <c r="X4" s="3">
        <v>0.0008</v>
      </c>
      <c r="Y4" s="17">
        <f>HYPERLINK("https://www.ncbi.nlm.nih.gov/clinvar/variation/132748", "132748") </f>
      </c>
      <c r="Z4" s="16" t="inlineStr">
        <is>
          <t xml:space="preserve">Benign</t>
        </is>
      </c>
      <c r="AA4" s="17">
        <f>HYPERLINK("https://grch37-cancer.sanger.ac.uk/cosmic/search?q=COSM148851", "COSM148851") </f>
      </c>
      <c r="AB4" s="5" t="inlineStr">
        <is>
          <t xml:space="preserve">29880898,31636198,32574388</t>
        </is>
      </c>
      <c r="AC4" s="24" t="inlineStr">
        <is>
          <t xml:space="preserve">W008_EPCAM_E05_01</t>
        </is>
      </c>
      <c r="AD4" s="2">
        <v>116</v>
      </c>
      <c r="AE4" s="2">
        <v>0</v>
      </c>
    </row>
    <row r="5">
      <c r="A5" s="5" t="inlineStr">
        <is>
          <t xml:space="preserve">BPTM-55-26S075016</t>
        </is>
      </c>
      <c r="B5" s="6" t="inlineStr">
        <is>
          <t xml:space="preserve">BPTM-55-26S075016</t>
        </is>
      </c>
      <c r="C5" s="6" t="inlineStr">
        <is>
          <t xml:space="preserve">AHL3NVDRX7_1</t>
        </is>
      </c>
      <c r="D5" s="11" t="inlineStr">
        <is>
          <t xml:space="preserve">chr2</t>
        </is>
      </c>
      <c r="E5" s="2">
        <v>47630550</v>
      </c>
      <c r="F5" s="2">
        <v>47630550</v>
      </c>
      <c r="G5" s="11" t="inlineStr">
        <is>
          <t xml:space="preserve">C</t>
        </is>
      </c>
      <c r="H5" s="11" t="inlineStr">
        <is>
          <t xml:space="preserve">G</t>
        </is>
      </c>
      <c r="I5" s="19" t="inlineStr">
        <is>
          <t xml:space="preserve">AGGTGAGGGC-C-GGGACGGCGC</t>
        </is>
      </c>
      <c r="J5" s="20" t="inlineStr">
        <is>
          <t xml:space="preserve">PASS;Polymorphism;WBC</t>
        </is>
      </c>
      <c r="K5" s="2">
        <v>1059</v>
      </c>
      <c r="L5" s="3">
        <v>0.1624</v>
      </c>
      <c r="M5" s="2">
        <v>172</v>
      </c>
      <c r="N5" s="11" t="inlineStr">
        <is>
          <t xml:space="preserve">MSH2</t>
        </is>
      </c>
      <c r="O5" s="20" t="inlineStr">
        <is>
          <t xml:space="preserve">Intronic</t>
        </is>
      </c>
      <c r="P5" s="21" t="inlineStr">
        <is>
          <t xml:space="preserve">NM_000251.3:intron1:c.211+9C&gt;G:p.?:p.?</t>
        </is>
      </c>
      <c r="Q5" s="2">
        <v>1</v>
      </c>
      <c r="R5" s="17">
        <f>HYPERLINK("https://grch37.ensembl.org/Homo_sapiens/Variation/Citations?v=rs2303426", "rs2303426") </f>
      </c>
      <c r="S5" s="3">
        <v>0.628395</v>
      </c>
      <c r="T5" s="3">
        <v>0.8145</v>
      </c>
      <c r="U5" s="3">
        <v>0.4324</v>
      </c>
      <c r="V5" s="3">
        <v>0.5043</v>
      </c>
      <c r="W5" s="3">
        <v>0.4806</v>
      </c>
      <c r="X5" s="3">
        <v>0.8101</v>
      </c>
      <c r="Y5" s="17">
        <f>HYPERLINK("https://www.ncbi.nlm.nih.gov/clinvar/variation/36573", "36573") </f>
      </c>
      <c r="Z5" s="16" t="inlineStr">
        <is>
          <t xml:space="preserve">Benign</t>
        </is>
      </c>
      <c r="AA5" s="5" t="inlineStr">
        <is>
          <t xml:space="preserve">NA</t>
        </is>
      </c>
      <c r="AB5" s="5" t="inlineStr">
        <is>
          <t xml:space="preserve">NA</t>
        </is>
      </c>
      <c r="AC5" s="24" t="inlineStr">
        <is>
          <t xml:space="preserve">W038_MSH2_E01_02</t>
        </is>
      </c>
      <c r="AD5" s="2">
        <v>172</v>
      </c>
      <c r="AE5" s="2">
        <v>0</v>
      </c>
    </row>
    <row r="6">
      <c r="A6" s="5" t="inlineStr">
        <is>
          <t xml:space="preserve">BPTM-55-26S075016</t>
        </is>
      </c>
      <c r="B6" s="6" t="inlineStr">
        <is>
          <t xml:space="preserve">BPTM-55-26S075016</t>
        </is>
      </c>
      <c r="C6" s="6" t="inlineStr">
        <is>
          <t xml:space="preserve">AHL3NVDRX7_1</t>
        </is>
      </c>
      <c r="D6" s="11" t="inlineStr">
        <is>
          <t xml:space="preserve">chr2</t>
        </is>
      </c>
      <c r="E6" s="2">
        <v>47635535</v>
      </c>
      <c r="F6" s="2">
        <v>47635536</v>
      </c>
      <c r="G6" s="11" t="inlineStr">
        <is>
          <t xml:space="preserve">TT</t>
        </is>
      </c>
      <c r="H6" s="11" t="inlineStr">
        <is>
          <t xml:space="preserve">-</t>
        </is>
      </c>
      <c r="I6" s="19" t="inlineStr">
        <is>
          <t xml:space="preserve">TTTTTTTTTT-TT-AAGGAGCAAA</t>
        </is>
      </c>
      <c r="J6" s="20" t="inlineStr">
        <is>
          <t xml:space="preserve">PASS;Polymer;Polymorphism;WBC</t>
        </is>
      </c>
      <c r="K6" s="2">
        <v>3543</v>
      </c>
      <c r="L6" s="3">
        <v>0.0339</v>
      </c>
      <c r="M6" s="2">
        <v>120</v>
      </c>
      <c r="N6" s="11" t="inlineStr">
        <is>
          <t xml:space="preserve">MSH2</t>
        </is>
      </c>
      <c r="O6" s="20" t="inlineStr">
        <is>
          <t xml:space="preserve">Intronic</t>
        </is>
      </c>
      <c r="P6" s="21" t="inlineStr">
        <is>
          <t xml:space="preserve">NM_000251.3:intron1:c.212-5_212-4del:p.?:p.?</t>
        </is>
      </c>
      <c r="Q6" s="2">
        <v>1</v>
      </c>
      <c r="R6" s="17">
        <f>HYPERLINK("https://grch37.ensembl.org/Homo_sapiens/Variation/Citations?v=rs746333570", "rs746333570") </f>
      </c>
      <c r="S6" s="22" t="inlineStr">
        <is>
          <t xml:space="preserve">NA</t>
        </is>
      </c>
      <c r="T6" s="23" t="inlineStr">
        <is>
          <t xml:space="preserve">NA</t>
        </is>
      </c>
      <c r="U6" s="23" t="inlineStr">
        <is>
          <t xml:space="preserve">NA</t>
        </is>
      </c>
      <c r="V6" s="23" t="inlineStr">
        <is>
          <t xml:space="preserve">NA</t>
        </is>
      </c>
      <c r="W6" s="23" t="inlineStr">
        <is>
          <t xml:space="preserve">NA</t>
        </is>
      </c>
      <c r="X6" s="23" t="inlineStr">
        <is>
          <t xml:space="preserve">NA</t>
        </is>
      </c>
      <c r="Y6" s="17">
        <f>HYPERLINK("https://www.ncbi.nlm.nih.gov/clinvar/variation/1697887", "1697887") </f>
      </c>
      <c r="Z6" s="16" t="inlineStr">
        <is>
          <t xml:space="preserve">Likely_benign</t>
        </is>
      </c>
      <c r="AA6" s="17">
        <f>HYPERLINK("https://grch37-cancer.sanger.ac.uk/cosmic/search?q=COSN28852231", "COSN28852231") </f>
      </c>
      <c r="AB6" s="5" t="inlineStr">
        <is>
          <t xml:space="preserve">NA</t>
        </is>
      </c>
      <c r="AC6" s="24" t="inlineStr">
        <is>
          <t xml:space="preserve">W039_MSH2_E02_01</t>
        </is>
      </c>
      <c r="AD6" s="2">
        <v>120</v>
      </c>
      <c r="AE6" s="2">
        <v>0</v>
      </c>
    </row>
    <row r="7">
      <c r="A7" s="5" t="inlineStr">
        <is>
          <t xml:space="preserve">BPTM-55-26S075016</t>
        </is>
      </c>
      <c r="B7" s="6" t="inlineStr">
        <is>
          <t xml:space="preserve">BPTM-55-26S075016</t>
        </is>
      </c>
      <c r="C7" s="6" t="inlineStr">
        <is>
          <t xml:space="preserve">AHL3NVDRX7_1</t>
        </is>
      </c>
      <c r="D7" s="11" t="inlineStr">
        <is>
          <t xml:space="preserve">chr2</t>
        </is>
      </c>
      <c r="E7" s="2">
        <v>47637452</v>
      </c>
      <c r="F7" s="2">
        <v>47637452</v>
      </c>
      <c r="G7" s="11" t="inlineStr">
        <is>
          <t xml:space="preserve">C</t>
        </is>
      </c>
      <c r="H7" s="11" t="inlineStr">
        <is>
          <t xml:space="preserve">T</t>
        </is>
      </c>
      <c r="I7" s="19" t="inlineStr">
        <is>
          <t xml:space="preserve">CCAGATTGGA-C-CAAAGGAATG</t>
        </is>
      </c>
      <c r="J7" s="20" t="inlineStr">
        <is>
          <t xml:space="preserve">PASS</t>
        </is>
      </c>
      <c r="K7" s="2">
        <v>9726</v>
      </c>
      <c r="L7" s="3">
        <v>0.0394</v>
      </c>
      <c r="M7" s="2">
        <v>383</v>
      </c>
      <c r="N7" s="11" t="inlineStr">
        <is>
          <t xml:space="preserve">MSH2</t>
        </is>
      </c>
      <c r="O7" s="20" t="inlineStr">
        <is>
          <t xml:space="preserve">nonSynonymous_Substitution</t>
        </is>
      </c>
      <c r="P7" s="21" t="inlineStr">
        <is>
          <t xml:space="preserve">NM_000251.3:exon3:c.586C&gt;T:p.(P196S):p.(Pro196Ser)</t>
        </is>
      </c>
      <c r="Q7" s="2">
        <v>3</v>
      </c>
      <c r="R7" s="17">
        <f>HYPERLINK("https://grch37.ensembl.org/Homo_sapiens/Variation/Citations?v=rs587782804", "rs587782804") </f>
      </c>
      <c r="S7" s="22" t="inlineStr">
        <is>
          <t xml:space="preserve">NA</t>
        </is>
      </c>
      <c r="T7" s="23" t="inlineStr">
        <is>
          <t xml:space="preserve">NA</t>
        </is>
      </c>
      <c r="U7" s="23" t="inlineStr">
        <is>
          <t xml:space="preserve">NA</t>
        </is>
      </c>
      <c r="V7" s="23" t="inlineStr">
        <is>
          <t xml:space="preserve">NA</t>
        </is>
      </c>
      <c r="W7" s="23" t="inlineStr">
        <is>
          <t xml:space="preserve">NA</t>
        </is>
      </c>
      <c r="X7" s="23" t="inlineStr">
        <is>
          <t xml:space="preserve">NA</t>
        </is>
      </c>
      <c r="Y7" s="17">
        <f>HYPERLINK("https://www.ncbi.nlm.nih.gov/clinvar/variation/142895", "142895") </f>
      </c>
      <c r="Z7" s="16" t="inlineStr">
        <is>
          <t xml:space="preserve">Conflicting_classifications_of_pathogenicity</t>
        </is>
      </c>
      <c r="AA7" s="5" t="inlineStr">
        <is>
          <t xml:space="preserve">NA</t>
        </is>
      </c>
      <c r="AB7" s="5" t="inlineStr">
        <is>
          <t xml:space="preserve">NA</t>
        </is>
      </c>
      <c r="AC7" s="24" t="inlineStr">
        <is>
          <t xml:space="preserve">*W044_MSH2_E03_03;W045_MSH2_E03_04</t>
        </is>
      </c>
      <c r="AD7" s="2">
        <v>149</v>
      </c>
      <c r="AE7" s="2">
        <v>234</v>
      </c>
    </row>
    <row r="8">
      <c r="A8" s="5" t="inlineStr">
        <is>
          <t xml:space="preserve">BPTM-55-26S075016</t>
        </is>
      </c>
      <c r="B8" s="6" t="inlineStr">
        <is>
          <t xml:space="preserve">BPTM-55-26S075016</t>
        </is>
      </c>
      <c r="C8" s="6" t="inlineStr">
        <is>
          <t xml:space="preserve">AHL3NVDRX7_1</t>
        </is>
      </c>
      <c r="D8" s="11" t="inlineStr">
        <is>
          <t xml:space="preserve">chr2</t>
        </is>
      </c>
      <c r="E8" s="2">
        <v>47693959</v>
      </c>
      <c r="F8" s="2">
        <v>47693959</v>
      </c>
      <c r="G8" s="11" t="inlineStr">
        <is>
          <t xml:space="preserve">G</t>
        </is>
      </c>
      <c r="H8" s="11" t="inlineStr">
        <is>
          <t xml:space="preserve">A</t>
        </is>
      </c>
      <c r="I8" s="19" t="inlineStr">
        <is>
          <t xml:space="preserve">TTTGCAAGTC-G-TTATTATATT</t>
        </is>
      </c>
      <c r="J8" s="20" t="inlineStr">
        <is>
          <t xml:space="preserve">PASS;Polymorphism;WBC</t>
        </is>
      </c>
      <c r="K8" s="2">
        <v>1644</v>
      </c>
      <c r="L8" s="3">
        <v>0.4781</v>
      </c>
      <c r="M8" s="2">
        <v>786</v>
      </c>
      <c r="N8" s="11" t="inlineStr">
        <is>
          <t xml:space="preserve">MSH2</t>
        </is>
      </c>
      <c r="O8" s="20" t="inlineStr">
        <is>
          <t xml:space="preserve">Intronic</t>
        </is>
      </c>
      <c r="P8" s="21" t="inlineStr">
        <is>
          <t xml:space="preserve">NM_000251.3:intron10:c.1661+12G&gt;A:p.?:p.?</t>
        </is>
      </c>
      <c r="Q8" s="2">
        <v>1</v>
      </c>
      <c r="R8" s="17">
        <f>HYPERLINK("https://grch37.ensembl.org/Homo_sapiens/Variation/Citations?v=rs3732183", "rs3732183") </f>
      </c>
      <c r="S8" s="3">
        <v>0.483427</v>
      </c>
      <c r="T8" s="3">
        <v>0.6548</v>
      </c>
      <c r="U8" s="3">
        <v>0.3012</v>
      </c>
      <c r="V8" s="3">
        <v>0.3242</v>
      </c>
      <c r="W8" s="3">
        <v>0.3517</v>
      </c>
      <c r="X8" s="3">
        <v>0.6725</v>
      </c>
      <c r="Y8" s="17">
        <f>HYPERLINK("https://www.ncbi.nlm.nih.gov/clinvar/variation/36567", "36567") </f>
      </c>
      <c r="Z8" s="16" t="inlineStr">
        <is>
          <t xml:space="preserve">Benign</t>
        </is>
      </c>
      <c r="AA8" s="17">
        <f>HYPERLINK("https://grch37-cancer.sanger.ac.uk/cosmic/search?q=COSN31767179", "COSN31767179") </f>
      </c>
      <c r="AB8" s="17">
        <f>HYPERLINK("https://www.ncbi.nlm.nih.gov/pubmed/31470906", "31470906") </f>
      </c>
      <c r="AC8" s="24" t="inlineStr">
        <is>
          <t xml:space="preserve">W061_MSH2_E10_02</t>
        </is>
      </c>
      <c r="AD8" s="2">
        <v>786</v>
      </c>
      <c r="AE8" s="2">
        <v>0</v>
      </c>
    </row>
    <row r="9">
      <c r="A9" s="5" t="inlineStr">
        <is>
          <t xml:space="preserve">BPTM-55-26S075016</t>
        </is>
      </c>
      <c r="B9" s="6" t="inlineStr">
        <is>
          <t xml:space="preserve">BPTM-55-26S075016</t>
        </is>
      </c>
      <c r="C9" s="6" t="inlineStr">
        <is>
          <t xml:space="preserve">AHL3NVDRX7_1</t>
        </is>
      </c>
      <c r="D9" s="11" t="inlineStr">
        <is>
          <t xml:space="preserve">chr2</t>
        </is>
      </c>
      <c r="E9" s="2">
        <v>48010488</v>
      </c>
      <c r="F9" s="2">
        <v>48010488</v>
      </c>
      <c r="G9" s="11" t="inlineStr">
        <is>
          <t xml:space="preserve">G</t>
        </is>
      </c>
      <c r="H9" s="11" t="inlineStr">
        <is>
          <t xml:space="preserve">A</t>
        </is>
      </c>
      <c r="I9" s="19" t="inlineStr">
        <is>
          <t xml:space="preserve">GCTGCCCCCG-G-GGCCTCTCCT</t>
        </is>
      </c>
      <c r="J9" s="20" t="inlineStr">
        <is>
          <t xml:space="preserve">PASS;Polymorphism;WBC</t>
        </is>
      </c>
      <c r="K9" s="2">
        <v>628</v>
      </c>
      <c r="L9" s="3">
        <v>0.5334</v>
      </c>
      <c r="M9" s="2">
        <v>335</v>
      </c>
      <c r="N9" s="11" t="inlineStr">
        <is>
          <t xml:space="preserve">MSH6</t>
        </is>
      </c>
      <c r="O9" s="20" t="inlineStr">
        <is>
          <t xml:space="preserve">nonSynonymous_Substitution</t>
        </is>
      </c>
      <c r="P9" s="21" t="inlineStr">
        <is>
          <t xml:space="preserve">NM_000179.3:exon1:c.116G&gt;A:p.(G39E):p.(Gly39Glu)</t>
        </is>
      </c>
      <c r="Q9" s="2">
        <v>1</v>
      </c>
      <c r="R9" s="17">
        <f>HYPERLINK("https://grch37.ensembl.org/Homo_sapiens/Variation/Citations?v=rs1042821", "rs1042821") </f>
      </c>
      <c r="S9" s="3">
        <v>0.200879</v>
      </c>
      <c r="T9" s="3">
        <v>0.2758</v>
      </c>
      <c r="U9" s="3">
        <v>0.1819</v>
      </c>
      <c r="V9" s="3">
        <v>0.1398</v>
      </c>
      <c r="W9" s="3">
        <v>0.1738</v>
      </c>
      <c r="X9" s="3">
        <v>0.2103</v>
      </c>
      <c r="Y9" s="17">
        <f>HYPERLINK("https://www.ncbi.nlm.nih.gov/clinvar/variation/36581", "36581") </f>
      </c>
      <c r="Z9" s="16" t="inlineStr">
        <is>
          <t xml:space="preserve">Benign</t>
        </is>
      </c>
      <c r="AA9" s="17">
        <f>HYPERLINK("https://grch37-cancer.sanger.ac.uk/cosmic/search?q=COSM3749667", "COSM3749667") </f>
      </c>
      <c r="AB9" s="5" t="inlineStr">
        <is>
          <t xml:space="preserve">30176882,36991000,31636198,31470906</t>
        </is>
      </c>
      <c r="AC9" s="24" t="inlineStr">
        <is>
          <t xml:space="preserve">W079_MSH6_E01_02</t>
        </is>
      </c>
      <c r="AD9" s="2">
        <v>0</v>
      </c>
      <c r="AE9" s="2">
        <v>335</v>
      </c>
    </row>
    <row r="10">
      <c r="A10" s="5" t="inlineStr">
        <is>
          <t xml:space="preserve">BPTM-55-26S075016</t>
        </is>
      </c>
      <c r="B10" s="6" t="inlineStr">
        <is>
          <t xml:space="preserve">BPTM-55-26S075016</t>
        </is>
      </c>
      <c r="C10" s="6" t="inlineStr">
        <is>
          <t xml:space="preserve">AHL3NVDRX7_1</t>
        </is>
      </c>
      <c r="D10" s="11" t="inlineStr">
        <is>
          <t xml:space="preserve">chr2</t>
        </is>
      </c>
      <c r="E10" s="2">
        <v>48026360</v>
      </c>
      <c r="F10" s="2">
        <v>48026360</v>
      </c>
      <c r="G10" s="11" t="inlineStr">
        <is>
          <t xml:space="preserve">G</t>
        </is>
      </c>
      <c r="H10" s="11" t="inlineStr">
        <is>
          <t xml:space="preserve">C</t>
        </is>
      </c>
      <c r="I10" s="19" t="inlineStr">
        <is>
          <t xml:space="preserve">ATGAGGAAGT-G-GTGGCAGATT</t>
        </is>
      </c>
      <c r="J10" s="20" t="inlineStr">
        <is>
          <t xml:space="preserve">PASS</t>
        </is>
      </c>
      <c r="K10" s="2">
        <v>3410</v>
      </c>
      <c r="L10" s="3">
        <v>0.156</v>
      </c>
      <c r="M10" s="2">
        <v>532</v>
      </c>
      <c r="N10" s="11" t="inlineStr">
        <is>
          <t xml:space="preserve">MSH6</t>
        </is>
      </c>
      <c r="O10" s="20" t="inlineStr">
        <is>
          <t xml:space="preserve">nonSynonymous_Substitution</t>
        </is>
      </c>
      <c r="P10" s="21" t="inlineStr">
        <is>
          <t xml:space="preserve">NM_000179.3:exon4:c.1238G&gt;C:p.(W413S):p.(Trp413Ser)</t>
        </is>
      </c>
      <c r="Q10" s="2">
        <v>3</v>
      </c>
      <c r="R10" s="11" t="inlineStr">
        <is>
          <t xml:space="preserve">NA</t>
        </is>
      </c>
      <c r="S10" s="22" t="inlineStr">
        <is>
          <t xml:space="preserve">NA</t>
        </is>
      </c>
      <c r="T10" s="23" t="inlineStr">
        <is>
          <t xml:space="preserve">NA</t>
        </is>
      </c>
      <c r="U10" s="23" t="inlineStr">
        <is>
          <t xml:space="preserve">NA</t>
        </is>
      </c>
      <c r="V10" s="23" t="inlineStr">
        <is>
          <t xml:space="preserve">NA</t>
        </is>
      </c>
      <c r="W10" s="23" t="inlineStr">
        <is>
          <t xml:space="preserve">NA</t>
        </is>
      </c>
      <c r="X10" s="23" t="inlineStr">
        <is>
          <t xml:space="preserve">NA</t>
        </is>
      </c>
      <c r="Y10" s="17">
        <f>HYPERLINK("https://www.ncbi.nlm.nih.gov/clinvar/variation/237131", "237131") </f>
      </c>
      <c r="Z10" s="16" t="inlineStr">
        <is>
          <t xml:space="preserve">Conflicting_classifications_of_pathogenicity</t>
        </is>
      </c>
      <c r="AA10" s="5" t="inlineStr">
        <is>
          <t xml:space="preserve">NA</t>
        </is>
      </c>
      <c r="AB10" s="5" t="inlineStr">
        <is>
          <t xml:space="preserve">NA</t>
        </is>
      </c>
      <c r="AC10" s="24" t="inlineStr">
        <is>
          <t xml:space="preserve">W090_MSH6_E04_06</t>
        </is>
      </c>
      <c r="AD10" s="2">
        <v>532</v>
      </c>
      <c r="AE10" s="2">
        <v>0</v>
      </c>
    </row>
    <row r="11">
      <c r="A11" s="5" t="inlineStr">
        <is>
          <t xml:space="preserve">BPTM-55-26S075016</t>
        </is>
      </c>
      <c r="B11" s="6" t="inlineStr">
        <is>
          <t xml:space="preserve">BPTM-55-26S075016</t>
        </is>
      </c>
      <c r="C11" s="6" t="inlineStr">
        <is>
          <t xml:space="preserve">AHL3NVDRX7_1</t>
        </is>
      </c>
      <c r="D11" s="11" t="inlineStr">
        <is>
          <t xml:space="preserve">chr2</t>
        </is>
      </c>
      <c r="E11" s="2">
        <v>48027617</v>
      </c>
      <c r="F11" s="2">
        <v>48027617</v>
      </c>
      <c r="G11" s="11" t="inlineStr">
        <is>
          <t xml:space="preserve">T</t>
        </is>
      </c>
      <c r="H11" s="11" t="inlineStr">
        <is>
          <t xml:space="preserve">C</t>
        </is>
      </c>
      <c r="I11" s="19" t="inlineStr">
        <is>
          <t xml:space="preserve">GGGTCTCCCC-T-GAAGAGTCAG</t>
        </is>
      </c>
      <c r="J11" s="20" t="inlineStr">
        <is>
          <t xml:space="preserve">PASS;Polymer</t>
        </is>
      </c>
      <c r="K11" s="2">
        <v>3363</v>
      </c>
      <c r="L11" s="3">
        <v>0.0404</v>
      </c>
      <c r="M11" s="2">
        <v>136</v>
      </c>
      <c r="N11" s="11" t="inlineStr">
        <is>
          <t xml:space="preserve">MSH6</t>
        </is>
      </c>
      <c r="O11" s="20" t="inlineStr">
        <is>
          <t xml:space="preserve">nonSynonymous_Substitution</t>
        </is>
      </c>
      <c r="P11" s="21" t="inlineStr">
        <is>
          <t xml:space="preserve">NM_000179.3:exon4:c.2495T&gt;C:p.(L832P):p.(Leu832Pro)</t>
        </is>
      </c>
      <c r="Q11" s="2">
        <v>3</v>
      </c>
      <c r="R11" s="17">
        <f>HYPERLINK("https://grch37.ensembl.org/Homo_sapiens/Variation/Citations?v=rs1396036269", "rs1396036269") </f>
      </c>
      <c r="S11" s="22" t="inlineStr">
        <is>
          <t xml:space="preserve">NA</t>
        </is>
      </c>
      <c r="T11" s="23" t="inlineStr">
        <is>
          <t xml:space="preserve">NA</t>
        </is>
      </c>
      <c r="U11" s="23" t="inlineStr">
        <is>
          <t xml:space="preserve">NA</t>
        </is>
      </c>
      <c r="V11" s="23" t="inlineStr">
        <is>
          <t xml:space="preserve">NA</t>
        </is>
      </c>
      <c r="W11" s="23" t="inlineStr">
        <is>
          <t xml:space="preserve">NA</t>
        </is>
      </c>
      <c r="X11" s="23" t="inlineStr">
        <is>
          <t xml:space="preserve">NA</t>
        </is>
      </c>
      <c r="Y11" s="17">
        <f>HYPERLINK("https://www.ncbi.nlm.nih.gov/clinvar/variation/1039364", "1039364") </f>
      </c>
      <c r="Z11" s="16" t="inlineStr">
        <is>
          <t xml:space="preserve">Uncertain_significance</t>
        </is>
      </c>
      <c r="AA11" s="5" t="inlineStr">
        <is>
          <t xml:space="preserve">NA</t>
        </is>
      </c>
      <c r="AB11" s="5" t="inlineStr">
        <is>
          <t xml:space="preserve">NA</t>
        </is>
      </c>
      <c r="AC11" s="24" t="inlineStr">
        <is>
          <t xml:space="preserve">W102_MSH6_E04_18</t>
        </is>
      </c>
      <c r="AD11" s="2">
        <v>136</v>
      </c>
      <c r="AE11" s="2">
        <v>0</v>
      </c>
    </row>
    <row r="12">
      <c r="A12" s="5" t="inlineStr">
        <is>
          <t xml:space="preserve">BPTM-55-26S075016</t>
        </is>
      </c>
      <c r="B12" s="6" t="inlineStr">
        <is>
          <t xml:space="preserve">BPTM-55-26S075016</t>
        </is>
      </c>
      <c r="C12" s="6" t="inlineStr">
        <is>
          <t xml:space="preserve">AHL3NVDRX7_1</t>
        </is>
      </c>
      <c r="D12" s="11" t="inlineStr">
        <is>
          <t xml:space="preserve">chr2</t>
        </is>
      </c>
      <c r="E12" s="2">
        <v>48030647</v>
      </c>
      <c r="F12" s="2">
        <v>48030647</v>
      </c>
      <c r="G12" s="11" t="inlineStr">
        <is>
          <t xml:space="preserve">C</t>
        </is>
      </c>
      <c r="H12" s="11" t="inlineStr">
        <is>
          <t xml:space="preserve">-</t>
        </is>
      </c>
      <c r="I12" s="19" t="inlineStr">
        <is>
          <t xml:space="preserve">ATACCCCCCC-C-TTCTTAGAGC</t>
        </is>
      </c>
      <c r="J12" s="20" t="inlineStr">
        <is>
          <t xml:space="preserve">PASS;Polymer;WBC</t>
        </is>
      </c>
      <c r="K12" s="2">
        <v>7194</v>
      </c>
      <c r="L12" s="3">
        <v>0.053</v>
      </c>
      <c r="M12" s="2">
        <v>381</v>
      </c>
      <c r="N12" s="11" t="inlineStr">
        <is>
          <t xml:space="preserve">MSH6</t>
        </is>
      </c>
      <c r="O12" s="20" t="inlineStr">
        <is>
          <t xml:space="preserve">FrameShift_Deletion</t>
        </is>
      </c>
      <c r="P12" s="21" t="inlineStr">
        <is>
          <t xml:space="preserve">NM_000179.3:exon5:c.3261del:p.(F1088Sfs*2):p.(Phe1088SerfsTer2)</t>
        </is>
      </c>
      <c r="Q12" s="2">
        <v>5</v>
      </c>
      <c r="R12" s="17">
        <f>HYPERLINK("https://grch37.ensembl.org/Homo_sapiens/Variation/Citations?v=rs267608078", "rs267608078;rs63750431") </f>
      </c>
      <c r="S12" s="22" t="inlineStr">
        <is>
          <t xml:space="preserve">NA</t>
        </is>
      </c>
      <c r="T12" s="23" t="inlineStr">
        <is>
          <t xml:space="preserve">NA</t>
        </is>
      </c>
      <c r="U12" s="23" t="inlineStr">
        <is>
          <t xml:space="preserve">NA</t>
        </is>
      </c>
      <c r="V12" s="23" t="inlineStr">
        <is>
          <t xml:space="preserve">NA</t>
        </is>
      </c>
      <c r="W12" s="23" t="inlineStr">
        <is>
          <t xml:space="preserve">NA</t>
        </is>
      </c>
      <c r="X12" s="23" t="inlineStr">
        <is>
          <t xml:space="preserve">NA</t>
        </is>
      </c>
      <c r="Y12" s="17">
        <f>HYPERLINK("https://www.ncbi.nlm.nih.gov/clinvar/variation/89363", "89363") </f>
      </c>
      <c r="Z12" s="16" t="inlineStr">
        <is>
          <t xml:space="preserve">Pathogenic</t>
        </is>
      </c>
      <c r="AA12" s="17">
        <f>HYPERLINK("https://grch37-cancer.sanger.ac.uk/cosmic/search?q=COSM13395", "COSM13395") </f>
      </c>
      <c r="AB12" s="5" t="inlineStr">
        <is>
          <t xml:space="preserve">29092957,30107175,29937994,29703791,26804919,26109429,38725616,29945994,24816253,25344691,17117178,20487569,19526325,18269114,20587412,15483016,20591884,17557300,22480969,22734033,32008151,32042422</t>
        </is>
      </c>
      <c r="AC12" s="24" t="inlineStr">
        <is>
          <t xml:space="preserve">W109_MSH6_E05_01</t>
        </is>
      </c>
      <c r="AD12" s="2">
        <v>0</v>
      </c>
      <c r="AE12" s="2">
        <v>381</v>
      </c>
    </row>
    <row r="13">
      <c r="A13" s="5" t="inlineStr">
        <is>
          <t xml:space="preserve">BPTM-55-26S075016</t>
        </is>
      </c>
      <c r="B13" s="6" t="inlineStr">
        <is>
          <t xml:space="preserve">BPTM-55-26S075016</t>
        </is>
      </c>
      <c r="C13" s="6" t="inlineStr">
        <is>
          <t xml:space="preserve">AHL3NVDRX7_1</t>
        </is>
      </c>
      <c r="D13" s="11" t="inlineStr">
        <is>
          <t xml:space="preserve">chr2</t>
        </is>
      </c>
      <c r="E13" s="2">
        <v>48030692</v>
      </c>
      <c r="F13" s="2">
        <v>48030692</v>
      </c>
      <c r="G13" s="11" t="inlineStr">
        <is>
          <t xml:space="preserve">T</t>
        </is>
      </c>
      <c r="H13" s="11" t="inlineStr">
        <is>
          <t xml:space="preserve">A</t>
        </is>
      </c>
      <c r="I13" s="19" t="inlineStr">
        <is>
          <t xml:space="preserve">TTACGAAGAC-T-TTTTTTGGAG</t>
        </is>
      </c>
      <c r="J13" s="20" t="inlineStr">
        <is>
          <t xml:space="preserve">PASS;Polymer;Polymorphism;WBC</t>
        </is>
      </c>
      <c r="K13" s="2">
        <v>6441</v>
      </c>
      <c r="L13" s="3">
        <v>0.5009</v>
      </c>
      <c r="M13" s="2">
        <v>3226</v>
      </c>
      <c r="N13" s="11" t="inlineStr">
        <is>
          <t xml:space="preserve">MSH6</t>
        </is>
      </c>
      <c r="O13" s="20" t="inlineStr">
        <is>
          <t xml:space="preserve">Synonymous_Substitution</t>
        </is>
      </c>
      <c r="P13" s="21" t="inlineStr">
        <is>
          <t xml:space="preserve">NM_000179.3:exon5:c.3306T&gt;A:p.(T1102=):p.(Thr1102=)</t>
        </is>
      </c>
      <c r="Q13" s="2">
        <v>1</v>
      </c>
      <c r="R13" s="17">
        <f>HYPERLINK("https://grch37.ensembl.org/Homo_sapiens/Variation/Citations?v=rs2020910", "rs2020910") </f>
      </c>
      <c r="S13" s="3">
        <v>0.0493211</v>
      </c>
      <c r="T13" s="3">
        <v>0.2153</v>
      </c>
      <c r="U13" s="3">
        <v>0.005</v>
      </c>
      <c r="V13" s="3">
        <v>0.0058</v>
      </c>
      <c r="W13" s="3">
        <v>0.0082</v>
      </c>
      <c r="X13" s="3">
        <v>0.0098</v>
      </c>
      <c r="Y13" s="17">
        <f>HYPERLINK("https://www.ncbi.nlm.nih.gov/clinvar/variation/36589", "36589") </f>
      </c>
      <c r="Z13" s="16" t="inlineStr">
        <is>
          <t xml:space="preserve">Benign</t>
        </is>
      </c>
      <c r="AA13" s="17">
        <f>HYPERLINK("https://grch37-cancer.sanger.ac.uk/cosmic/search?q=COSM5021075", "COSM5021075") </f>
      </c>
      <c r="AB13" s="5" t="inlineStr">
        <is>
          <t xml:space="preserve">25589003,31874108</t>
        </is>
      </c>
      <c r="AC13" s="24" t="inlineStr">
        <is>
          <t xml:space="preserve">W110_MSH6_E05_02</t>
        </is>
      </c>
      <c r="AD13" s="2">
        <v>3226</v>
      </c>
      <c r="AE13" s="2">
        <v>0</v>
      </c>
    </row>
    <row r="14">
      <c r="A14" s="5" t="inlineStr">
        <is>
          <t xml:space="preserve">BPTM-55-26S075016</t>
        </is>
      </c>
      <c r="B14" s="6" t="inlineStr">
        <is>
          <t xml:space="preserve">BPTM-55-26S075016</t>
        </is>
      </c>
      <c r="C14" s="6" t="inlineStr">
        <is>
          <t xml:space="preserve">AHL3NVDRX7_1</t>
        </is>
      </c>
      <c r="D14" s="11" t="inlineStr">
        <is>
          <t xml:space="preserve">chr2</t>
        </is>
      </c>
      <c r="E14" s="2">
        <v>48030838</v>
      </c>
      <c r="F14" s="2">
        <v>48030838</v>
      </c>
      <c r="G14" s="11" t="inlineStr">
        <is>
          <t xml:space="preserve">A</t>
        </is>
      </c>
      <c r="H14" s="11" t="inlineStr">
        <is>
          <t xml:space="preserve">T</t>
        </is>
      </c>
      <c r="I14" s="19" t="inlineStr">
        <is>
          <t xml:space="preserve">ACTGATTCTT-A-AAGTTTTGTT</t>
        </is>
      </c>
      <c r="J14" s="20" t="inlineStr">
        <is>
          <t xml:space="preserve">PASS;Polymorphism;WBC</t>
        </is>
      </c>
      <c r="K14" s="2">
        <v>3137</v>
      </c>
      <c r="L14" s="3">
        <v>0.4919</v>
      </c>
      <c r="M14" s="2">
        <v>1543</v>
      </c>
      <c r="N14" s="11" t="inlineStr">
        <is>
          <t xml:space="preserve">MSH6</t>
        </is>
      </c>
      <c r="O14" s="20" t="inlineStr">
        <is>
          <t xml:space="preserve">Intronic</t>
        </is>
      </c>
      <c r="P14" s="21" t="inlineStr">
        <is>
          <t xml:space="preserve">NM_000179.3:intron5:c.3438+14A&gt;T:p.?:p.?</t>
        </is>
      </c>
      <c r="Q14" s="2">
        <v>1</v>
      </c>
      <c r="R14" s="17">
        <f>HYPERLINK("https://grch37.ensembl.org/Homo_sapiens/Variation/Citations?v=rs2020911", "rs2020911") </f>
      </c>
      <c r="S14" s="3">
        <v>0.400958</v>
      </c>
      <c r="T14" s="3">
        <v>0.619</v>
      </c>
      <c r="U14" s="3">
        <v>0.3608</v>
      </c>
      <c r="V14" s="3">
        <v>0.4597</v>
      </c>
      <c r="W14" s="3">
        <v>0.5399</v>
      </c>
      <c r="X14" s="3">
        <v>0.1316</v>
      </c>
      <c r="Y14" s="17">
        <f>HYPERLINK("https://www.ncbi.nlm.nih.gov/clinvar/variation/42471", "42471") </f>
      </c>
      <c r="Z14" s="16" t="inlineStr">
        <is>
          <t xml:space="preserve">Benign</t>
        </is>
      </c>
      <c r="AA14" s="17">
        <f>HYPERLINK("https://grch37-cancer.sanger.ac.uk/cosmic/search?q=COSN26959359", "COSN26959359") </f>
      </c>
      <c r="AB14" s="17">
        <f>HYPERLINK("https://www.ncbi.nlm.nih.gov/pubmed/28002797", "28002797") </f>
      </c>
      <c r="AC14" s="24" t="inlineStr">
        <is>
          <t xml:space="preserve">W111_MSH6_E05_03</t>
        </is>
      </c>
      <c r="AD14" s="2">
        <v>0</v>
      </c>
      <c r="AE14" s="2">
        <v>1543</v>
      </c>
    </row>
    <row r="15">
      <c r="A15" s="5" t="inlineStr">
        <is>
          <t xml:space="preserve">BPTM-55-26S075016</t>
        </is>
      </c>
      <c r="B15" s="6" t="inlineStr">
        <is>
          <t xml:space="preserve">BPTM-55-26S075016</t>
        </is>
      </c>
      <c r="C15" s="6" t="inlineStr">
        <is>
          <t xml:space="preserve">AHL3NVDRX7_1</t>
        </is>
      </c>
      <c r="D15" s="11" t="inlineStr">
        <is>
          <t xml:space="preserve">chr2</t>
        </is>
      </c>
      <c r="E15" s="2">
        <v>48032124</v>
      </c>
      <c r="F15" s="2">
        <v>48032125</v>
      </c>
      <c r="G15" s="11" t="inlineStr">
        <is>
          <t xml:space="preserve">-</t>
        </is>
      </c>
      <c r="H15" s="11" t="inlineStr">
        <is>
          <t xml:space="preserve">A</t>
        </is>
      </c>
      <c r="I15" s="19" t="inlineStr">
        <is>
          <t xml:space="preserve">CCAATTGATA-*-GAGTGTTTAC</t>
        </is>
      </c>
      <c r="J15" s="20" t="inlineStr">
        <is>
          <t xml:space="preserve">PASS</t>
        </is>
      </c>
      <c r="K15" s="2">
        <v>7492</v>
      </c>
      <c r="L15" s="3">
        <v>0.1451</v>
      </c>
      <c r="M15" s="2">
        <v>1087</v>
      </c>
      <c r="N15" s="11" t="inlineStr">
        <is>
          <t xml:space="preserve">MSH6</t>
        </is>
      </c>
      <c r="O15" s="20" t="inlineStr">
        <is>
          <t xml:space="preserve">FrameShift_Duplication</t>
        </is>
      </c>
      <c r="P15" s="21" t="inlineStr">
        <is>
          <t xml:space="preserve">NM_000179.3:exon6:c.3514dup:p.(R1172Kfs*5):p.(Arg1172LysfsTer5)</t>
        </is>
      </c>
      <c r="Q15" s="2">
        <v>4</v>
      </c>
      <c r="R15" s="17">
        <f>HYPERLINK("https://grch37.ensembl.org/Homo_sapiens/Variation/Citations?v=rs63751327", "rs63751327;rs63749834") </f>
      </c>
      <c r="S15" s="22" t="inlineStr">
        <is>
          <t xml:space="preserve">NA</t>
        </is>
      </c>
      <c r="T15" s="23" t="inlineStr">
        <is>
          <t xml:space="preserve">NA</t>
        </is>
      </c>
      <c r="U15" s="23" t="inlineStr">
        <is>
          <t xml:space="preserve">NA</t>
        </is>
      </c>
      <c r="V15" s="23" t="inlineStr">
        <is>
          <t xml:space="preserve">NA</t>
        </is>
      </c>
      <c r="W15" s="23" t="inlineStr">
        <is>
          <t xml:space="preserve">NA</t>
        </is>
      </c>
      <c r="X15" s="23" t="inlineStr">
        <is>
          <t xml:space="preserve">NA</t>
        </is>
      </c>
      <c r="Y15" s="17">
        <f>HYPERLINK("https://www.ncbi.nlm.nih.gov/clinvar/variation/89404", "89404") </f>
      </c>
      <c r="Z15" s="16" t="inlineStr">
        <is>
          <t xml:space="preserve">Pathogenic</t>
        </is>
      </c>
      <c r="AA15" s="17">
        <f>HYPERLINK("https://grch37-cancer.sanger.ac.uk/cosmic/search?q=COSM10783720", "COSM10783720") </f>
      </c>
      <c r="AB15" s="17">
        <f>HYPERLINK("https://www.ncbi.nlm.nih.gov/pubmed/38191122", "38191122") </f>
      </c>
      <c r="AC15" s="24" t="inlineStr">
        <is>
          <t xml:space="preserve">W113_MSH6_E06_02</t>
        </is>
      </c>
      <c r="AD15" s="2">
        <v>1087</v>
      </c>
      <c r="AE15" s="2">
        <v>0</v>
      </c>
    </row>
    <row r="16">
      <c r="A16" s="5" t="inlineStr">
        <is>
          <t xml:space="preserve">BPTM-55-26S075016</t>
        </is>
      </c>
      <c r="B16" s="6" t="inlineStr">
        <is>
          <t xml:space="preserve">BPTM-55-26S075016</t>
        </is>
      </c>
      <c r="C16" s="6" t="inlineStr">
        <is>
          <t xml:space="preserve">AHL3NVDRX7_1</t>
        </is>
      </c>
      <c r="D16" s="11" t="inlineStr">
        <is>
          <t xml:space="preserve">chr2</t>
        </is>
      </c>
      <c r="E16" s="2">
        <v>48032751</v>
      </c>
      <c r="F16" s="2">
        <v>48032753</v>
      </c>
      <c r="G16" s="11" t="inlineStr">
        <is>
          <t xml:space="preserve">TTT</t>
        </is>
      </c>
      <c r="H16" s="11" t="inlineStr">
        <is>
          <t xml:space="preserve">-</t>
        </is>
      </c>
      <c r="I16" s="19" t="inlineStr">
        <is>
          <t xml:space="preserve">TTTTTTTTTT-TTT-AAGGTGAAAG</t>
        </is>
      </c>
      <c r="J16" s="20" t="inlineStr">
        <is>
          <t xml:space="preserve">PASS;Polymer</t>
        </is>
      </c>
      <c r="K16" s="2">
        <v>6360</v>
      </c>
      <c r="L16" s="3">
        <v>0.0434</v>
      </c>
      <c r="M16" s="2">
        <v>276</v>
      </c>
      <c r="N16" s="11" t="inlineStr">
        <is>
          <t xml:space="preserve">MSH6</t>
        </is>
      </c>
      <c r="O16" s="20" t="inlineStr">
        <is>
          <t xml:space="preserve">Intronic</t>
        </is>
      </c>
      <c r="P16" s="21" t="inlineStr">
        <is>
          <t xml:space="preserve">NM_000179.3:intron6:c.3557-6_3557-4del:p.?:p.?</t>
        </is>
      </c>
      <c r="Q16" s="2">
        <v>3</v>
      </c>
      <c r="R16" s="17">
        <f>HYPERLINK("https://grch37.ensembl.org/Homo_sapiens/Variation/Citations?v=rs267608102", "rs267608102") </f>
      </c>
      <c r="S16" s="22" t="inlineStr">
        <is>
          <t xml:space="preserve">NA</t>
        </is>
      </c>
      <c r="T16" s="23" t="inlineStr">
        <is>
          <t xml:space="preserve">NA</t>
        </is>
      </c>
      <c r="U16" s="23" t="inlineStr">
        <is>
          <t xml:space="preserve">NA</t>
        </is>
      </c>
      <c r="V16" s="23" t="inlineStr">
        <is>
          <t xml:space="preserve">NA</t>
        </is>
      </c>
      <c r="W16" s="23" t="inlineStr">
        <is>
          <t xml:space="preserve">NA</t>
        </is>
      </c>
      <c r="X16" s="23" t="inlineStr">
        <is>
          <t xml:space="preserve">NA</t>
        </is>
      </c>
      <c r="Y16" s="17">
        <f>HYPERLINK("https://www.ncbi.nlm.nih.gov/clinvar/variation/3779958", "3779958") </f>
      </c>
      <c r="Z16" s="16" t="inlineStr">
        <is>
          <t xml:space="preserve">Likely_benign</t>
        </is>
      </c>
      <c r="AA16" s="17">
        <f>HYPERLINK("https://grch37-cancer.sanger.ac.uk/cosmic/search?q=COSN2375741", "COSN2375741") </f>
      </c>
      <c r="AB16" s="17">
        <f>HYPERLINK("https://www.ncbi.nlm.nih.gov/pubmed/22037554", "22037554") </f>
      </c>
      <c r="AC16" s="24" t="inlineStr">
        <is>
          <t xml:space="preserve">W114_MSH6_E07_01;*W115_MSH6_E07_02</t>
        </is>
      </c>
      <c r="AD16" s="2">
        <v>127</v>
      </c>
      <c r="AE16" s="2">
        <v>149</v>
      </c>
    </row>
    <row r="17">
      <c r="A17" s="5" t="inlineStr">
        <is>
          <t xml:space="preserve">BPTM-55-26S075016</t>
        </is>
      </c>
      <c r="B17" s="6" t="inlineStr">
        <is>
          <t xml:space="preserve">BPTM-55-26S075016</t>
        </is>
      </c>
      <c r="C17" s="6" t="inlineStr">
        <is>
          <t xml:space="preserve">AHL3NVDRX7_1</t>
        </is>
      </c>
      <c r="D17" s="11" t="inlineStr">
        <is>
          <t xml:space="preserve">chr2</t>
        </is>
      </c>
      <c r="E17" s="2">
        <v>48032752</v>
      </c>
      <c r="F17" s="2">
        <v>48032753</v>
      </c>
      <c r="G17" s="11" t="inlineStr">
        <is>
          <t xml:space="preserve">TT</t>
        </is>
      </c>
      <c r="H17" s="11" t="inlineStr">
        <is>
          <t xml:space="preserve">-</t>
        </is>
      </c>
      <c r="I17" s="19" t="inlineStr">
        <is>
          <t xml:space="preserve">TTTTTTTTTT-TT-AAGGTGAAAG</t>
        </is>
      </c>
      <c r="J17" s="20" t="inlineStr">
        <is>
          <t xml:space="preserve">PASS;Polymer;WBC</t>
        </is>
      </c>
      <c r="K17" s="2">
        <v>6360</v>
      </c>
      <c r="L17" s="3">
        <v>0.0969</v>
      </c>
      <c r="M17" s="2">
        <v>616</v>
      </c>
      <c r="N17" s="11" t="inlineStr">
        <is>
          <t xml:space="preserve">MSH6</t>
        </is>
      </c>
      <c r="O17" s="20" t="inlineStr">
        <is>
          <t xml:space="preserve">Intronic</t>
        </is>
      </c>
      <c r="P17" s="21" t="inlineStr">
        <is>
          <t xml:space="preserve">NM_000179.3:intron6:c.3557-5_3557-4del:p.?:p.?</t>
        </is>
      </c>
      <c r="Q17" s="2">
        <v>2</v>
      </c>
      <c r="R17" s="17">
        <f>HYPERLINK("https://grch37.ensembl.org/Homo_sapiens/Variation/Citations?v=rs267608102", "rs267608102") </f>
      </c>
      <c r="S17" s="22" t="inlineStr">
        <is>
          <t xml:space="preserve">NA</t>
        </is>
      </c>
      <c r="T17" s="23" t="inlineStr">
        <is>
          <t xml:space="preserve">NA</t>
        </is>
      </c>
      <c r="U17" s="23" t="inlineStr">
        <is>
          <t xml:space="preserve">NA</t>
        </is>
      </c>
      <c r="V17" s="23" t="inlineStr">
        <is>
          <t xml:space="preserve">NA</t>
        </is>
      </c>
      <c r="W17" s="23" t="inlineStr">
        <is>
          <t xml:space="preserve">NA</t>
        </is>
      </c>
      <c r="X17" s="23" t="inlineStr">
        <is>
          <t xml:space="preserve">NA</t>
        </is>
      </c>
      <c r="Y17" s="17">
        <f>HYPERLINK("https://www.ncbi.nlm.nih.gov/clinvar/variation/1732640", "1732640") </f>
      </c>
      <c r="Z17" s="16" t="inlineStr">
        <is>
          <t xml:space="preserve">Benign/Likely_benign</t>
        </is>
      </c>
      <c r="AA17" s="17">
        <f>HYPERLINK("https://grch37-cancer.sanger.ac.uk/cosmic/search?q=COSN5853551", "COSN5853551") </f>
      </c>
      <c r="AB17" s="17">
        <f>HYPERLINK("https://www.ncbi.nlm.nih.gov/pubmed/24308032", "24308032") </f>
      </c>
      <c r="AC17" s="24" t="inlineStr">
        <is>
          <t xml:space="preserve">W114_MSH6_E07_01;*W115_MSH6_E07_02</t>
        </is>
      </c>
      <c r="AD17" s="2">
        <v>292</v>
      </c>
      <c r="AE17" s="2">
        <v>324</v>
      </c>
    </row>
    <row r="18">
      <c r="A18" s="5" t="inlineStr">
        <is>
          <t xml:space="preserve">BPTM-55-26S075016</t>
        </is>
      </c>
      <c r="B18" s="6" t="inlineStr">
        <is>
          <t xml:space="preserve">BPTM-55-26S075016</t>
        </is>
      </c>
      <c r="C18" s="6" t="inlineStr">
        <is>
          <t xml:space="preserve">AHL3NVDRX7_1</t>
        </is>
      </c>
      <c r="D18" s="11" t="inlineStr">
        <is>
          <t xml:space="preserve">chr2</t>
        </is>
      </c>
      <c r="E18" s="2">
        <v>48032753</v>
      </c>
      <c r="F18" s="2">
        <v>48032753</v>
      </c>
      <c r="G18" s="11" t="inlineStr">
        <is>
          <t xml:space="preserve">T</t>
        </is>
      </c>
      <c r="H18" s="11" t="inlineStr">
        <is>
          <t xml:space="preserve">-</t>
        </is>
      </c>
      <c r="I18" s="19" t="inlineStr">
        <is>
          <t xml:space="preserve">TTTTTTTTTT-T-AAGGTGAAAG</t>
        </is>
      </c>
      <c r="J18" s="20" t="inlineStr">
        <is>
          <t xml:space="preserve">PASS;Polymer;Polymorphism;WBC</t>
        </is>
      </c>
      <c r="K18" s="2">
        <v>6361</v>
      </c>
      <c r="L18" s="3">
        <v>0.0459</v>
      </c>
      <c r="M18" s="2">
        <v>292</v>
      </c>
      <c r="N18" s="11" t="inlineStr">
        <is>
          <t xml:space="preserve">MSH6</t>
        </is>
      </c>
      <c r="O18" s="20" t="inlineStr">
        <is>
          <t xml:space="preserve">Intronic</t>
        </is>
      </c>
      <c r="P18" s="21" t="inlineStr">
        <is>
          <t xml:space="preserve">NM_000179.3:intron6:c.3557-4del:p.?:p.?</t>
        </is>
      </c>
      <c r="Q18" s="2">
        <v>1</v>
      </c>
      <c r="R18" s="17">
        <f>HYPERLINK("https://grch37.ensembl.org/Homo_sapiens/Variation/Citations?v=rs267608102", "rs267608102;rs542542093") </f>
      </c>
      <c r="S18" s="22" t="inlineStr">
        <is>
          <t xml:space="preserve">NA</t>
        </is>
      </c>
      <c r="T18" s="23" t="inlineStr">
        <is>
          <t xml:space="preserve">NA</t>
        </is>
      </c>
      <c r="U18" s="23" t="inlineStr">
        <is>
          <t xml:space="preserve">NA</t>
        </is>
      </c>
      <c r="V18" s="23" t="inlineStr">
        <is>
          <t xml:space="preserve">NA</t>
        </is>
      </c>
      <c r="W18" s="23" t="inlineStr">
        <is>
          <t xml:space="preserve">NA</t>
        </is>
      </c>
      <c r="X18" s="23" t="inlineStr">
        <is>
          <t xml:space="preserve">NA</t>
        </is>
      </c>
      <c r="Y18" s="17">
        <f>HYPERLINK("https://www.ncbi.nlm.nih.gov/clinvar/variation/89417", "89417") </f>
      </c>
      <c r="Z18" s="16" t="inlineStr">
        <is>
          <t xml:space="preserve">Benign/Likely_benign</t>
        </is>
      </c>
      <c r="AA18" s="17">
        <f>HYPERLINK("https://grch37-cancer.sanger.ac.uk/cosmic/search?q=COSN1239526", "COSN1239526") </f>
      </c>
      <c r="AB18" s="5" t="inlineStr">
        <is>
          <t xml:space="preserve">NA</t>
        </is>
      </c>
      <c r="AC18" s="24" t="inlineStr">
        <is>
          <t xml:space="preserve">W114_MSH6_E07_01;W115_MSH6_E07_02</t>
        </is>
      </c>
      <c r="AD18" s="2">
        <v>147</v>
      </c>
      <c r="AE18" s="2">
        <v>145</v>
      </c>
    </row>
    <row r="19">
      <c r="A19" s="5" t="inlineStr">
        <is>
          <t xml:space="preserve">BPTM-55-26S075016</t>
        </is>
      </c>
      <c r="B19" s="6" t="inlineStr">
        <is>
          <t xml:space="preserve">BPTM-55-26S075016</t>
        </is>
      </c>
      <c r="C19" s="6" t="inlineStr">
        <is>
          <t xml:space="preserve">AHL3NVDRX7_1</t>
        </is>
      </c>
      <c r="D19" s="11" t="inlineStr">
        <is>
          <t xml:space="preserve">chr2</t>
        </is>
      </c>
      <c r="E19" s="2">
        <v>48033905</v>
      </c>
      <c r="F19" s="2">
        <v>48033908</v>
      </c>
      <c r="G19" s="11" t="inlineStr">
        <is>
          <t xml:space="preserve">TTTT</t>
        </is>
      </c>
      <c r="H19" s="11" t="inlineStr">
        <is>
          <t xml:space="preserve">-</t>
        </is>
      </c>
      <c r="I19" s="19" t="inlineStr">
        <is>
          <t xml:space="preserve">TTTTTTTTTT-TTTT-AATTTTAAGG</t>
        </is>
      </c>
      <c r="J19" s="20" t="inlineStr">
        <is>
          <t xml:space="preserve">PASS;Polymer;Polymorphism</t>
        </is>
      </c>
      <c r="K19" s="2">
        <v>8987</v>
      </c>
      <c r="L19" s="3">
        <v>0.1203</v>
      </c>
      <c r="M19" s="2">
        <v>1081</v>
      </c>
      <c r="N19" s="11" t="inlineStr">
        <is>
          <t xml:space="preserve">MSH6</t>
        </is>
      </c>
      <c r="O19" s="20" t="inlineStr">
        <is>
          <t xml:space="preserve">Intronic</t>
        </is>
      </c>
      <c r="P19" s="21" t="inlineStr">
        <is>
          <t xml:space="preserve">NM_000179.3:intron9:c.4002-13_4002-10del:p.?:p.?</t>
        </is>
      </c>
      <c r="Q19" s="2">
        <v>1</v>
      </c>
      <c r="R19" s="17">
        <f>HYPERLINK("https://grch37.ensembl.org/Homo_sapiens/Variation/Citations?v=rs59056100", "rs59056100") </f>
      </c>
      <c r="S19" s="22" t="inlineStr">
        <is>
          <t xml:space="preserve">NA</t>
        </is>
      </c>
      <c r="T19" s="23" t="inlineStr">
        <is>
          <t xml:space="preserve">NA</t>
        </is>
      </c>
      <c r="U19" s="23" t="inlineStr">
        <is>
          <t xml:space="preserve">NA</t>
        </is>
      </c>
      <c r="V19" s="23" t="inlineStr">
        <is>
          <t xml:space="preserve">NA</t>
        </is>
      </c>
      <c r="W19" s="23" t="inlineStr">
        <is>
          <t xml:space="preserve">NA</t>
        </is>
      </c>
      <c r="X19" s="23" t="inlineStr">
        <is>
          <t xml:space="preserve">NA</t>
        </is>
      </c>
      <c r="Y19" s="17">
        <f>HYPERLINK("https://www.ncbi.nlm.nih.gov/clinvar/variation/1802702", "1802702") </f>
      </c>
      <c r="Z19" s="16" t="inlineStr">
        <is>
          <t xml:space="preserve">Conflicting_classifications_of_pathogenicity</t>
        </is>
      </c>
      <c r="AA19" s="5" t="inlineStr">
        <is>
          <t xml:space="preserve">NA</t>
        </is>
      </c>
      <c r="AB19" s="5" t="inlineStr">
        <is>
          <t xml:space="preserve">NA</t>
        </is>
      </c>
      <c r="AC19" s="24" t="inlineStr">
        <is>
          <t xml:space="preserve">W122_MSH6_E10_01</t>
        </is>
      </c>
      <c r="AD19" s="2">
        <v>1081</v>
      </c>
      <c r="AE19" s="2">
        <v>0</v>
      </c>
    </row>
    <row r="20">
      <c r="A20" s="5" t="inlineStr">
        <is>
          <t xml:space="preserve">BPTM-55-26S075016</t>
        </is>
      </c>
      <c r="B20" s="6" t="inlineStr">
        <is>
          <t xml:space="preserve">BPTM-55-26S075016</t>
        </is>
      </c>
      <c r="C20" s="6" t="inlineStr">
        <is>
          <t xml:space="preserve">AHL3NVDRX7_1</t>
        </is>
      </c>
      <c r="D20" s="11" t="inlineStr">
        <is>
          <t xml:space="preserve">chr7</t>
        </is>
      </c>
      <c r="E20" s="2">
        <v>6036980</v>
      </c>
      <c r="F20" s="2">
        <v>6036980</v>
      </c>
      <c r="G20" s="11" t="inlineStr">
        <is>
          <t xml:space="preserve">G</t>
        </is>
      </c>
      <c r="H20" s="11" t="inlineStr">
        <is>
          <t xml:space="preserve">C</t>
        </is>
      </c>
      <c r="I20" s="19" t="inlineStr">
        <is>
          <t xml:space="preserve">GCAGAGCATC-G-GAACAGCTCA</t>
        </is>
      </c>
      <c r="J20" s="20" t="inlineStr">
        <is>
          <t xml:space="preserve">PASS;Polymorphism;WBC</t>
        </is>
      </c>
      <c r="K20" s="2">
        <v>4412</v>
      </c>
      <c r="L20" s="3">
        <v>0.9966</v>
      </c>
      <c r="M20" s="2">
        <v>4397</v>
      </c>
      <c r="N20" s="11" t="inlineStr">
        <is>
          <t xml:space="preserve">PMS2</t>
        </is>
      </c>
      <c r="O20" s="20" t="inlineStr">
        <is>
          <t xml:space="preserve">Synonymous_Substitution</t>
        </is>
      </c>
      <c r="P20" s="21" t="inlineStr">
        <is>
          <t xml:space="preserve">NM_000535.7:exon7:c.780C&gt;G:p.(S260=):p.(Ser260=)</t>
        </is>
      </c>
      <c r="Q20" s="2">
        <v>1</v>
      </c>
      <c r="R20" s="17">
        <f>HYPERLINK("https://grch37.ensembl.org/Homo_sapiens/Variation/Citations?v=rs1805319", "rs1805319") </f>
      </c>
      <c r="S20" s="3">
        <v>0.83127</v>
      </c>
      <c r="T20" s="3">
        <v>0.879</v>
      </c>
      <c r="U20" s="3">
        <v>0.836</v>
      </c>
      <c r="V20" s="3">
        <v>0.7478</v>
      </c>
      <c r="W20" s="3">
        <v>0.8037</v>
      </c>
      <c r="X20" s="3">
        <v>0.8555</v>
      </c>
      <c r="Y20" s="17">
        <f>HYPERLINK("https://www.ncbi.nlm.nih.gov/clinvar/variation/36693", "36693") </f>
      </c>
      <c r="Z20" s="16" t="inlineStr">
        <is>
          <t xml:space="preserve">Benign</t>
        </is>
      </c>
      <c r="AA20" s="17">
        <f>HYPERLINK("https://grch37-cancer.sanger.ac.uk/cosmic/search?q=COSM4162330", "COSM4162330") </f>
      </c>
      <c r="AB20" s="17">
        <f>HYPERLINK("https://www.ncbi.nlm.nih.gov/pubmed/30176882", "30176882") </f>
      </c>
      <c r="AC20" s="24" t="inlineStr">
        <is>
          <t xml:space="preserve">W179_PMS2_E07_01</t>
        </is>
      </c>
      <c r="AD20" s="2">
        <v>0</v>
      </c>
      <c r="AE20" s="2">
        <v>4397</v>
      </c>
    </row>
    <row r="21">
      <c r="A21" s="5" t="inlineStr">
        <is>
          <t xml:space="preserve">BPTM-55-26S075016</t>
        </is>
      </c>
      <c r="B21" s="6" t="inlineStr">
        <is>
          <t xml:space="preserve">BPTM-55-26S075016</t>
        </is>
      </c>
      <c r="C21" s="6" t="inlineStr">
        <is>
          <t xml:space="preserve">AHL3NVDRX7_1</t>
        </is>
      </c>
      <c r="D21" s="11" t="inlineStr">
        <is>
          <t xml:space="preserve">chr7</t>
        </is>
      </c>
      <c r="E21" s="2">
        <v>6037071</v>
      </c>
      <c r="F21" s="2">
        <v>6037074</v>
      </c>
      <c r="G21" s="11" t="inlineStr">
        <is>
          <t xml:space="preserve">AAAA</t>
        </is>
      </c>
      <c r="H21" s="11" t="inlineStr">
        <is>
          <t xml:space="preserve">-</t>
        </is>
      </c>
      <c r="I21" s="19" t="inlineStr">
        <is>
          <t xml:space="preserve">AAAAAAAAAA-AAAA-TTCACAGTTA</t>
        </is>
      </c>
      <c r="J21" s="20" t="inlineStr">
        <is>
          <t xml:space="preserve">PASS;Polymer;WBC</t>
        </is>
      </c>
      <c r="K21" s="2">
        <v>2204</v>
      </c>
      <c r="L21" s="3">
        <v>0.0812</v>
      </c>
      <c r="M21" s="2">
        <v>179</v>
      </c>
      <c r="N21" s="11" t="inlineStr">
        <is>
          <t xml:space="preserve">PMS2</t>
        </is>
      </c>
      <c r="O21" s="20" t="inlineStr">
        <is>
          <t xml:space="preserve">Intronic</t>
        </is>
      </c>
      <c r="P21" s="21" t="inlineStr">
        <is>
          <t xml:space="preserve">NM_000535.7:intron6:c.706-7_706-4del:p.?:p.?</t>
        </is>
      </c>
      <c r="Q21" s="2">
        <v>3</v>
      </c>
      <c r="R21" s="17">
        <f>HYPERLINK("https://grch37.ensembl.org/Homo_sapiens/Variation/Citations?v=rs60794673", "rs60794673") </f>
      </c>
      <c r="S21" s="22" t="inlineStr">
        <is>
          <t xml:space="preserve">NA</t>
        </is>
      </c>
      <c r="T21" s="23" t="inlineStr">
        <is>
          <t xml:space="preserve">NA</t>
        </is>
      </c>
      <c r="U21" s="23" t="inlineStr">
        <is>
          <t xml:space="preserve">NA</t>
        </is>
      </c>
      <c r="V21" s="23" t="inlineStr">
        <is>
          <t xml:space="preserve">NA</t>
        </is>
      </c>
      <c r="W21" s="23" t="inlineStr">
        <is>
          <t xml:space="preserve">NA</t>
        </is>
      </c>
      <c r="X21" s="23" t="inlineStr">
        <is>
          <t xml:space="preserve">NA</t>
        </is>
      </c>
      <c r="Y21" s="17">
        <f>HYPERLINK("https://www.ncbi.nlm.nih.gov/clinvar/variation/1049771", "1049771") </f>
      </c>
      <c r="Z21" s="16" t="inlineStr">
        <is>
          <t xml:space="preserve">Likely_benign</t>
        </is>
      </c>
      <c r="AA21" s="5" t="inlineStr">
        <is>
          <t xml:space="preserve">NA</t>
        </is>
      </c>
      <c r="AB21" s="5" t="inlineStr">
        <is>
          <t xml:space="preserve">NA</t>
        </is>
      </c>
      <c r="AC21" s="24" t="inlineStr">
        <is>
          <t xml:space="preserve">W180_PMS2_E07_02</t>
        </is>
      </c>
      <c r="AD21" s="2">
        <v>179</v>
      </c>
      <c r="AE21" s="2">
        <v>0</v>
      </c>
    </row>
    <row r="22">
      <c r="A22" s="5" t="inlineStr">
        <is>
          <t xml:space="preserve">BPTM-55-26S075016</t>
        </is>
      </c>
      <c r="B22" s="6" t="inlineStr">
        <is>
          <t xml:space="preserve">BPTM-55-26S075016</t>
        </is>
      </c>
      <c r="C22" s="6" t="inlineStr">
        <is>
          <t xml:space="preserve">AHL3NVDRX7_1</t>
        </is>
      </c>
      <c r="D22" s="11" t="inlineStr">
        <is>
          <t xml:space="preserve">chr7</t>
        </is>
      </c>
      <c r="E22" s="2">
        <v>6037074</v>
      </c>
      <c r="F22" s="2">
        <v>6037074</v>
      </c>
      <c r="G22" s="11" t="inlineStr">
        <is>
          <t xml:space="preserve">A</t>
        </is>
      </c>
      <c r="H22" s="11" t="inlineStr">
        <is>
          <t xml:space="preserve">-</t>
        </is>
      </c>
      <c r="I22" s="19" t="inlineStr">
        <is>
          <t xml:space="preserve">AAAAAAAAAA-A-TTCACAGTTA</t>
        </is>
      </c>
      <c r="J22" s="20" t="inlineStr">
        <is>
          <t xml:space="preserve">Black_List;PASS;Polymer;Polymorphism;WBC</t>
        </is>
      </c>
      <c r="K22" s="2">
        <v>2194</v>
      </c>
      <c r="L22" s="3">
        <v>0.479</v>
      </c>
      <c r="M22" s="2">
        <v>1051</v>
      </c>
      <c r="N22" s="11" t="inlineStr">
        <is>
          <t xml:space="preserve">PMS2</t>
        </is>
      </c>
      <c r="O22" s="20" t="inlineStr">
        <is>
          <t xml:space="preserve">Intronic</t>
        </is>
      </c>
      <c r="P22" s="21" t="inlineStr">
        <is>
          <t xml:space="preserve">NM_000535.7:intron6:c.706-4del:p.?:p.?</t>
        </is>
      </c>
      <c r="Q22" s="2">
        <v>1</v>
      </c>
      <c r="R22" s="17">
        <f>HYPERLINK("https://grch37.ensembl.org/Homo_sapiens/Variation/Citations?v=rs570998668", "rs570998668;rs549793612;rs531184698;rs567585097;rs60794673") </f>
      </c>
      <c r="S22" s="3">
        <v>0.453075</v>
      </c>
      <c r="T22" s="3">
        <v>0.4931</v>
      </c>
      <c r="U22" s="3">
        <v>0.4533</v>
      </c>
      <c r="V22" s="3">
        <v>0.4553</v>
      </c>
      <c r="W22" s="3">
        <v>0.4785</v>
      </c>
      <c r="X22" s="3">
        <v>0.4024</v>
      </c>
      <c r="Y22" s="17">
        <f>HYPERLINK("https://www.ncbi.nlm.nih.gov/clinvar/variation/218461", "218461") </f>
      </c>
      <c r="Z22" s="16" t="inlineStr">
        <is>
          <t xml:space="preserve">Benign/Likely_benign</t>
        </is>
      </c>
      <c r="AA22" s="17">
        <f>HYPERLINK("https://grch37-cancer.sanger.ac.uk/cosmic/search?q=COSM5943497", "COSM5943497") </f>
      </c>
      <c r="AB22" s="17">
        <f>HYPERLINK("https://www.ncbi.nlm.nih.gov/pubmed/25759019", "25759019") </f>
      </c>
      <c r="AC22" s="24" t="inlineStr">
        <is>
          <t xml:space="preserve">W180_PMS2_E07_02</t>
        </is>
      </c>
      <c r="AD22" s="2">
        <v>1051</v>
      </c>
      <c r="AE22" s="2">
        <v>0</v>
      </c>
    </row>
    <row r="23">
      <c r="A23" s="5" t="inlineStr">
        <is>
          <t xml:space="preserve">BPTM-55-26S075016</t>
        </is>
      </c>
      <c r="B23" s="6" t="inlineStr">
        <is>
          <t xml:space="preserve">BPTM-55-26S075016</t>
        </is>
      </c>
      <c r="C23" s="6" t="inlineStr">
        <is>
          <t xml:space="preserve">AHL3NVDRX7_1</t>
        </is>
      </c>
      <c r="D23" s="11" t="inlineStr">
        <is>
          <t xml:space="preserve">chr7</t>
        </is>
      </c>
      <c r="E23" s="2">
        <v>6038722</v>
      </c>
      <c r="F23" s="2">
        <v>6038722</v>
      </c>
      <c r="G23" s="11" t="inlineStr">
        <is>
          <t xml:space="preserve">T</t>
        </is>
      </c>
      <c r="H23" s="11" t="inlineStr">
        <is>
          <t xml:space="preserve">C</t>
        </is>
      </c>
      <c r="I23" s="19" t="inlineStr">
        <is>
          <t xml:space="preserve">GGCGTTGAAG-T-AACCGGCCAT</t>
        </is>
      </c>
      <c r="J23" s="20" t="inlineStr">
        <is>
          <t xml:space="preserve">PASS;Polymorphism;WBC</t>
        </is>
      </c>
      <c r="K23" s="2">
        <v>3481</v>
      </c>
      <c r="L23" s="3">
        <v>0.9989</v>
      </c>
      <c r="M23" s="2">
        <v>3477</v>
      </c>
      <c r="N23" s="11" t="inlineStr">
        <is>
          <t xml:space="preserve">PMS2</t>
        </is>
      </c>
      <c r="O23" s="20" t="inlineStr">
        <is>
          <t xml:space="preserve">Intronic</t>
        </is>
      </c>
      <c r="P23" s="21" t="inlineStr">
        <is>
          <t xml:space="preserve">NM_000535.7:intron6:c.705+17A&gt;G:p.?:p.?</t>
        </is>
      </c>
      <c r="Q23" s="2">
        <v>1</v>
      </c>
      <c r="R23" s="17">
        <f>HYPERLINK("https://grch37.ensembl.org/Homo_sapiens/Variation/Citations?v=rs62456182", "rs62456182") </f>
      </c>
      <c r="S23" s="3">
        <v>0.325679</v>
      </c>
      <c r="T23" s="3">
        <v>0.3591</v>
      </c>
      <c r="U23" s="3">
        <v>0.4364</v>
      </c>
      <c r="V23" s="3">
        <v>0.3746</v>
      </c>
      <c r="W23" s="3">
        <v>0.3425</v>
      </c>
      <c r="X23" s="3">
        <v>0.1778</v>
      </c>
      <c r="Y23" s="17">
        <f>HYPERLINK("https://www.ncbi.nlm.nih.gov/clinvar/variation/36692", "36692") </f>
      </c>
      <c r="Z23" s="16" t="inlineStr">
        <is>
          <t xml:space="preserve">Benign</t>
        </is>
      </c>
      <c r="AA23" s="17">
        <f>HYPERLINK("https://grch37-cancer.sanger.ac.uk/cosmic/search?q=COSN28722736", "COSN28722736") </f>
      </c>
      <c r="AB23" s="17">
        <f>HYPERLINK("https://www.ncbi.nlm.nih.gov/pubmed/36991000", "36991000") </f>
      </c>
      <c r="AC23" s="24" t="inlineStr">
        <is>
          <t xml:space="preserve">*W181_PMS2_E06_01</t>
        </is>
      </c>
      <c r="AD23" s="2">
        <v>0</v>
      </c>
      <c r="AE23" s="2">
        <v>3477</v>
      </c>
    </row>
    <row r="24">
      <c r="A24" s="5" t="inlineStr">
        <is>
          <t xml:space="preserve">BPTM-55-26S075016</t>
        </is>
      </c>
      <c r="B24" s="6" t="inlineStr">
        <is>
          <t xml:space="preserve">BPTM-55-26S075016</t>
        </is>
      </c>
      <c r="C24" s="6" t="inlineStr">
        <is>
          <t xml:space="preserve">AHL3NVDRX7_1</t>
        </is>
      </c>
      <c r="D24" s="11" t="inlineStr">
        <is>
          <t xml:space="preserve">chr13</t>
        </is>
      </c>
      <c r="E24" s="2">
        <v>32906480</v>
      </c>
      <c r="F24" s="2">
        <v>32906480</v>
      </c>
      <c r="G24" s="11" t="inlineStr">
        <is>
          <t xml:space="preserve">A</t>
        </is>
      </c>
      <c r="H24" s="11" t="inlineStr">
        <is>
          <t xml:space="preserve">C</t>
        </is>
      </c>
      <c r="I24" s="19" t="inlineStr">
        <is>
          <t xml:space="preserve">GTCAATGCCA-A-ATGTCCTAGA</t>
        </is>
      </c>
      <c r="J24" s="20" t="inlineStr">
        <is>
          <t xml:space="preserve">PASS;Polymorphism;WBC</t>
        </is>
      </c>
      <c r="K24" s="2">
        <v>5135</v>
      </c>
      <c r="L24" s="3">
        <v>0.4874</v>
      </c>
      <c r="M24" s="2">
        <v>2503</v>
      </c>
      <c r="N24" s="11" t="inlineStr">
        <is>
          <t xml:space="preserve">BRCA2</t>
        </is>
      </c>
      <c r="O24" s="20" t="inlineStr">
        <is>
          <t xml:space="preserve">nonSynonymous_Substitution</t>
        </is>
      </c>
      <c r="P24" s="21" t="inlineStr">
        <is>
          <t xml:space="preserve">NM_000059.4:exon10:c.865A&gt;C:p.(N289H):p.(Asn289His)</t>
        </is>
      </c>
      <c r="Q24" s="2">
        <v>1</v>
      </c>
      <c r="R24" s="17">
        <f>HYPERLINK("https://grch37.ensembl.org/Homo_sapiens/Variation/Citations?v=rs766173", "rs766173") </f>
      </c>
      <c r="S24" s="3">
        <v>0.0736821</v>
      </c>
      <c r="T24" s="3">
        <v>0.0962</v>
      </c>
      <c r="U24" s="3">
        <v>0.0348</v>
      </c>
      <c r="V24" s="3">
        <v>0.0922</v>
      </c>
      <c r="W24" s="3">
        <v>0.1329</v>
      </c>
      <c r="X24" s="3">
        <v>0.0325</v>
      </c>
      <c r="Y24" s="17">
        <f>HYPERLINK("https://www.ncbi.nlm.nih.gov/clinvar/variation/41567", "41567") </f>
      </c>
      <c r="Z24" s="16" t="inlineStr">
        <is>
          <t xml:space="preserve">Benign</t>
        </is>
      </c>
      <c r="AA24" s="17">
        <f>HYPERLINK("https://grch37-cancer.sanger.ac.uk/cosmic/search?q=COSM3999067", "COSM3999067") </f>
      </c>
      <c r="AB24" s="5" t="inlineStr">
        <is>
          <t xml:space="preserve">31636198,36991000,24793135,25759019,31874108,12955716</t>
        </is>
      </c>
      <c r="AC24" s="24" t="inlineStr">
        <is>
          <t xml:space="preserve">W238_BRCA2_E10_02</t>
        </is>
      </c>
      <c r="AD24" s="2">
        <v>2503</v>
      </c>
      <c r="AE24" s="2">
        <v>0</v>
      </c>
    </row>
    <row r="25">
      <c r="A25" s="5" t="inlineStr">
        <is>
          <t xml:space="preserve">BPTM-55-26S075016</t>
        </is>
      </c>
      <c r="B25" s="6" t="inlineStr">
        <is>
          <t xml:space="preserve">BPTM-55-26S075016</t>
        </is>
      </c>
      <c r="C25" s="6" t="inlineStr">
        <is>
          <t xml:space="preserve">AHL3NVDRX7_1</t>
        </is>
      </c>
      <c r="D25" s="11" t="inlineStr">
        <is>
          <t xml:space="preserve">chr13</t>
        </is>
      </c>
      <c r="E25" s="2">
        <v>32906980</v>
      </c>
      <c r="F25" s="2">
        <v>32906980</v>
      </c>
      <c r="G25" s="11" t="inlineStr">
        <is>
          <t xml:space="preserve">A</t>
        </is>
      </c>
      <c r="H25" s="11" t="inlineStr">
        <is>
          <t xml:space="preserve">G</t>
        </is>
      </c>
      <c r="I25" s="19" t="inlineStr">
        <is>
          <t xml:space="preserve">TACCAAAATC-A-GAGAAGCCAT</t>
        </is>
      </c>
      <c r="J25" s="20" t="inlineStr">
        <is>
          <t xml:space="preserve">PASS;Polymorphism;WBC</t>
        </is>
      </c>
      <c r="K25" s="2">
        <v>1866</v>
      </c>
      <c r="L25" s="3">
        <v>0.4791</v>
      </c>
      <c r="M25" s="2">
        <v>894</v>
      </c>
      <c r="N25" s="11" t="inlineStr">
        <is>
          <t xml:space="preserve">BRCA2</t>
        </is>
      </c>
      <c r="O25" s="20" t="inlineStr">
        <is>
          <t xml:space="preserve">Synonymous_Substitution</t>
        </is>
      </c>
      <c r="P25" s="21" t="inlineStr">
        <is>
          <t xml:space="preserve">NM_000059.4:exon10:c.1365A&gt;G:p.(S455=):p.(Ser455=)</t>
        </is>
      </c>
      <c r="Q25" s="2">
        <v>1</v>
      </c>
      <c r="R25" s="17">
        <f>HYPERLINK("https://grch37.ensembl.org/Homo_sapiens/Variation/Citations?v=rs1801439", "rs1801439") </f>
      </c>
      <c r="S25" s="3">
        <v>0.0736821</v>
      </c>
      <c r="T25" s="3">
        <v>0.0962</v>
      </c>
      <c r="U25" s="3">
        <v>0.0348</v>
      </c>
      <c r="V25" s="3">
        <v>0.0922</v>
      </c>
      <c r="W25" s="3">
        <v>0.1329</v>
      </c>
      <c r="X25" s="3">
        <v>0.0325</v>
      </c>
      <c r="Y25" s="17">
        <f>HYPERLINK("https://www.ncbi.nlm.nih.gov/clinvar/variation/125943", "125943") </f>
      </c>
      <c r="Z25" s="16" t="inlineStr">
        <is>
          <t xml:space="preserve">Benign</t>
        </is>
      </c>
      <c r="AA25" s="17">
        <f>HYPERLINK("https://grch37-cancer.sanger.ac.uk/cosmic/search?q=COSM3999069", "COSM3999069") </f>
      </c>
      <c r="AB25" s="5" t="inlineStr">
        <is>
          <t xml:space="preserve">36991000,31874108,28713588,12955716</t>
        </is>
      </c>
      <c r="AC25" s="24" t="inlineStr">
        <is>
          <t xml:space="preserve">W243_BRCA2_E10_07</t>
        </is>
      </c>
      <c r="AD25" s="2">
        <v>0</v>
      </c>
      <c r="AE25" s="2">
        <v>894</v>
      </c>
    </row>
    <row r="26">
      <c r="A26" s="5" t="inlineStr">
        <is>
          <t xml:space="preserve">BPTM-55-26S075016</t>
        </is>
      </c>
      <c r="B26" s="6" t="inlineStr">
        <is>
          <t xml:space="preserve">BPTM-55-26S075016</t>
        </is>
      </c>
      <c r="C26" s="6" t="inlineStr">
        <is>
          <t xml:space="preserve">AHL3NVDRX7_1</t>
        </is>
      </c>
      <c r="D26" s="11" t="inlineStr">
        <is>
          <t xml:space="preserve">chr13</t>
        </is>
      </c>
      <c r="E26" s="2">
        <v>32910721</v>
      </c>
      <c r="F26" s="2">
        <v>32910721</v>
      </c>
      <c r="G26" s="11" t="inlineStr">
        <is>
          <t xml:space="preserve">T</t>
        </is>
      </c>
      <c r="H26" s="11" t="inlineStr">
        <is>
          <t xml:space="preserve">C</t>
        </is>
      </c>
      <c r="I26" s="19" t="inlineStr">
        <is>
          <t xml:space="preserve">CAGTACAACA-T-TCAAAAGTGG</t>
        </is>
      </c>
      <c r="J26" s="20" t="inlineStr">
        <is>
          <t xml:space="preserve">PASS;Polymorphism;WBC</t>
        </is>
      </c>
      <c r="K26" s="2">
        <v>2912</v>
      </c>
      <c r="L26" s="3">
        <v>0.5024</v>
      </c>
      <c r="M26" s="2">
        <v>1463</v>
      </c>
      <c r="N26" s="11" t="inlineStr">
        <is>
          <t xml:space="preserve">BRCA2</t>
        </is>
      </c>
      <c r="O26" s="20" t="inlineStr">
        <is>
          <t xml:space="preserve">Synonymous_Substitution</t>
        </is>
      </c>
      <c r="P26" s="21" t="inlineStr">
        <is>
          <t xml:space="preserve">NM_000059.4:exon11:c.2229T&gt;C:p.(H743=):p.(His743=)</t>
        </is>
      </c>
      <c r="Q26" s="2">
        <v>1</v>
      </c>
      <c r="R26" s="17">
        <f>HYPERLINK("https://grch37.ensembl.org/Homo_sapiens/Variation/Citations?v=rs1801499", "rs1801499") </f>
      </c>
      <c r="S26" s="3">
        <v>0.0734824</v>
      </c>
      <c r="T26" s="3">
        <v>0.0952</v>
      </c>
      <c r="U26" s="3">
        <v>0.0348</v>
      </c>
      <c r="V26" s="3">
        <v>0.0922</v>
      </c>
      <c r="W26" s="3">
        <v>0.1329</v>
      </c>
      <c r="X26" s="3">
        <v>0.0325</v>
      </c>
      <c r="Y26" s="17">
        <f>HYPERLINK("https://www.ncbi.nlm.nih.gov/clinvar/variation/125979", "125979") </f>
      </c>
      <c r="Z26" s="16" t="inlineStr">
        <is>
          <t xml:space="preserve">Benign</t>
        </is>
      </c>
      <c r="AA26" s="17">
        <f>HYPERLINK("https://grch37-cancer.sanger.ac.uk/cosmic/search?q=COSM5019763", "COSM5019763") </f>
      </c>
      <c r="AB26" s="5" t="inlineStr">
        <is>
          <t xml:space="preserve">36991000,31874108,28713588,12955716</t>
        </is>
      </c>
      <c r="AC26" s="24" t="inlineStr">
        <is>
          <t xml:space="preserve">W253_BRCA2_E11_04</t>
        </is>
      </c>
      <c r="AD26" s="2">
        <v>1463</v>
      </c>
      <c r="AE26" s="2">
        <v>0</v>
      </c>
    </row>
    <row r="27">
      <c r="A27" s="5" t="inlineStr">
        <is>
          <t xml:space="preserve">BPTM-55-26S075016</t>
        </is>
      </c>
      <c r="B27" s="6" t="inlineStr">
        <is>
          <t xml:space="preserve">BPTM-55-26S075016</t>
        </is>
      </c>
      <c r="C27" s="6" t="inlineStr">
        <is>
          <t xml:space="preserve">AHL3NVDRX7_1</t>
        </is>
      </c>
      <c r="D27" s="11" t="inlineStr">
        <is>
          <t xml:space="preserve">chr13</t>
        </is>
      </c>
      <c r="E27" s="2">
        <v>32911463</v>
      </c>
      <c r="F27" s="2">
        <v>32911463</v>
      </c>
      <c r="G27" s="11" t="inlineStr">
        <is>
          <t xml:space="preserve">A</t>
        </is>
      </c>
      <c r="H27" s="11" t="inlineStr">
        <is>
          <t xml:space="preserve">G</t>
        </is>
      </c>
      <c r="I27" s="19" t="inlineStr">
        <is>
          <t xml:space="preserve">TGATTACATG-A-ACAAATGGGC</t>
        </is>
      </c>
      <c r="J27" s="20" t="inlineStr">
        <is>
          <t xml:space="preserve">PASS;Polymorphism;WBC</t>
        </is>
      </c>
      <c r="K27" s="2">
        <v>2645</v>
      </c>
      <c r="L27" s="3">
        <v>0.4802</v>
      </c>
      <c r="M27" s="2">
        <v>1270</v>
      </c>
      <c r="N27" s="11" t="inlineStr">
        <is>
          <t xml:space="preserve">BRCA2</t>
        </is>
      </c>
      <c r="O27" s="20" t="inlineStr">
        <is>
          <t xml:space="preserve">nonSynonymous_Substitution</t>
        </is>
      </c>
      <c r="P27" s="21" t="inlineStr">
        <is>
          <t xml:space="preserve">NM_000059.4:exon11:c.2971A&gt;G:p.(N991D):p.(Asn991Asp)</t>
        </is>
      </c>
      <c r="Q27" s="2">
        <v>1</v>
      </c>
      <c r="R27" s="17">
        <f>HYPERLINK("https://grch37.ensembl.org/Homo_sapiens/Variation/Citations?v=rs1799944", "rs1799944") </f>
      </c>
      <c r="S27" s="3">
        <v>0.0800719</v>
      </c>
      <c r="T27" s="3">
        <v>0.0972</v>
      </c>
      <c r="U27" s="3">
        <v>0.0348</v>
      </c>
      <c r="V27" s="3">
        <v>0.0937</v>
      </c>
      <c r="W27" s="3">
        <v>0.1329</v>
      </c>
      <c r="X27" s="3">
        <v>0.0552</v>
      </c>
      <c r="Y27" s="17">
        <f>HYPERLINK("https://www.ncbi.nlm.nih.gov/clinvar/variation/41545", "41545") </f>
      </c>
      <c r="Z27" s="16" t="inlineStr">
        <is>
          <t xml:space="preserve">Benign</t>
        </is>
      </c>
      <c r="AA27" s="17">
        <f>HYPERLINK("https://grch37-cancer.sanger.ac.uk/cosmic/search?q=COSM4986760", "COSM4986760") </f>
      </c>
      <c r="AB27" s="5" t="inlineStr">
        <is>
          <t xml:space="preserve">24793135,31636198,36991000,31874108,28713588,12955716</t>
        </is>
      </c>
      <c r="AC27" s="24" t="inlineStr">
        <is>
          <t xml:space="preserve">W260_BRCA2_E11_11</t>
        </is>
      </c>
      <c r="AD27" s="2">
        <v>0</v>
      </c>
      <c r="AE27" s="2">
        <v>1270</v>
      </c>
    </row>
    <row r="28">
      <c r="A28" s="5" t="inlineStr">
        <is>
          <t xml:space="preserve">BPTM-55-26S075016</t>
        </is>
      </c>
      <c r="B28" s="6" t="inlineStr">
        <is>
          <t xml:space="preserve">BPTM-55-26S075016</t>
        </is>
      </c>
      <c r="C28" s="6" t="inlineStr">
        <is>
          <t xml:space="preserve">AHL3NVDRX7_1</t>
        </is>
      </c>
      <c r="D28" s="11" t="inlineStr">
        <is>
          <t xml:space="preserve">chr13</t>
        </is>
      </c>
      <c r="E28" s="2">
        <v>32912299</v>
      </c>
      <c r="F28" s="2">
        <v>32912299</v>
      </c>
      <c r="G28" s="11" t="inlineStr">
        <is>
          <t xml:space="preserve">T</t>
        </is>
      </c>
      <c r="H28" s="11" t="inlineStr">
        <is>
          <t xml:space="preserve">C</t>
        </is>
      </c>
      <c r="I28" s="19" t="inlineStr">
        <is>
          <t xml:space="preserve">ATGATTCTGT-T-GTTTCAATGT</t>
        </is>
      </c>
      <c r="J28" s="20" t="inlineStr">
        <is>
          <t xml:space="preserve">PASS;Polymorphism;WBC</t>
        </is>
      </c>
      <c r="K28" s="2">
        <v>3558</v>
      </c>
      <c r="L28" s="3">
        <v>0.4966</v>
      </c>
      <c r="M28" s="2">
        <v>1767</v>
      </c>
      <c r="N28" s="11" t="inlineStr">
        <is>
          <t xml:space="preserve">BRCA2</t>
        </is>
      </c>
      <c r="O28" s="20" t="inlineStr">
        <is>
          <t xml:space="preserve">Synonymous_Substitution</t>
        </is>
      </c>
      <c r="P28" s="21" t="inlineStr">
        <is>
          <t xml:space="preserve">NM_000059.4:exon11:c.3807T&gt;C:p.(V1269=):p.(Val1269=)</t>
        </is>
      </c>
      <c r="Q28" s="2">
        <v>1</v>
      </c>
      <c r="R28" s="17">
        <f>HYPERLINK("https://grch37.ensembl.org/Homo_sapiens/Variation/Citations?v=rs543304", "rs543304") </f>
      </c>
      <c r="S28" s="3">
        <v>0.168131</v>
      </c>
      <c r="T28" s="3">
        <v>0.1726</v>
      </c>
      <c r="U28" s="3">
        <v>0.1998</v>
      </c>
      <c r="V28" s="3">
        <v>0.1527</v>
      </c>
      <c r="W28" s="3">
        <v>0.1196</v>
      </c>
      <c r="X28" s="3">
        <v>0.1846</v>
      </c>
      <c r="Y28" s="17">
        <f>HYPERLINK("https://www.ncbi.nlm.nih.gov/clinvar/variation/126022", "126022") </f>
      </c>
      <c r="Z28" s="16" t="inlineStr">
        <is>
          <t xml:space="preserve">Benign</t>
        </is>
      </c>
      <c r="AA28" s="17">
        <f>HYPERLINK("https://grch37-cancer.sanger.ac.uk/cosmic/search?q=COSM6849606", "COSM6849606") </f>
      </c>
      <c r="AB28" s="5" t="inlineStr">
        <is>
          <t xml:space="preserve">30176882,28713588,31470906</t>
        </is>
      </c>
      <c r="AC28" s="24" t="inlineStr">
        <is>
          <t xml:space="preserve">W269_BRCA2_E11_20</t>
        </is>
      </c>
      <c r="AD28" s="2">
        <v>1767</v>
      </c>
      <c r="AE28" s="2">
        <v>0</v>
      </c>
    </row>
    <row r="29">
      <c r="A29" s="5" t="inlineStr">
        <is>
          <t xml:space="preserve">BPTM-55-26S075016</t>
        </is>
      </c>
      <c r="B29" s="6" t="inlineStr">
        <is>
          <t xml:space="preserve">BPTM-55-26S075016</t>
        </is>
      </c>
      <c r="C29" s="6" t="inlineStr">
        <is>
          <t xml:space="preserve">AHL3NVDRX7_1</t>
        </is>
      </c>
      <c r="D29" s="11" t="inlineStr">
        <is>
          <t xml:space="preserve">chr13</t>
        </is>
      </c>
      <c r="E29" s="2">
        <v>32913055</v>
      </c>
      <c r="F29" s="2">
        <v>32913055</v>
      </c>
      <c r="G29" s="11" t="inlineStr">
        <is>
          <t xml:space="preserve">A</t>
        </is>
      </c>
      <c r="H29" s="11" t="inlineStr">
        <is>
          <t xml:space="preserve">G</t>
        </is>
      </c>
      <c r="I29" s="19" t="inlineStr">
        <is>
          <t xml:space="preserve">AACCTACTCT-A-TTGGGTTTTC</t>
        </is>
      </c>
      <c r="J29" s="20" t="inlineStr">
        <is>
          <t xml:space="preserve">PASS;Polymorphism;WBC</t>
        </is>
      </c>
      <c r="K29" s="2">
        <v>6070</v>
      </c>
      <c r="L29" s="3">
        <v>0.999</v>
      </c>
      <c r="M29" s="2">
        <v>6064</v>
      </c>
      <c r="N29" s="11" t="inlineStr">
        <is>
          <t xml:space="preserve">BRCA2</t>
        </is>
      </c>
      <c r="O29" s="20" t="inlineStr">
        <is>
          <t xml:space="preserve">Synonymous_Substitution</t>
        </is>
      </c>
      <c r="P29" s="21" t="inlineStr">
        <is>
          <t xml:space="preserve">NM_000059.4:exon11:c.4563A&gt;G:p.(L1521=):p.(Leu1521=)</t>
        </is>
      </c>
      <c r="Q29" s="2">
        <v>1</v>
      </c>
      <c r="R29" s="17">
        <f>HYPERLINK("https://grch37.ensembl.org/Homo_sapiens/Variation/Citations?v=rs206075", "rs206075") </f>
      </c>
      <c r="S29" s="3">
        <v>0.974042</v>
      </c>
      <c r="T29" s="3">
        <v>1</v>
      </c>
      <c r="U29" s="3">
        <v>0.999</v>
      </c>
      <c r="V29" s="3">
        <v>0.9971</v>
      </c>
      <c r="W29" s="3">
        <v>1</v>
      </c>
      <c r="X29" s="3">
        <v>0.9039</v>
      </c>
      <c r="Y29" s="17">
        <f>HYPERLINK("https://www.ncbi.nlm.nih.gov/clinvar/variation/132779", "132779") </f>
      </c>
      <c r="Z29" s="16" t="inlineStr">
        <is>
          <t xml:space="preserve">Benign</t>
        </is>
      </c>
      <c r="AA29" s="17">
        <f>HYPERLINK("https://grch37-cancer.sanger.ac.uk/cosmic/search?q=COSM9180822", "COSM9180822") </f>
      </c>
      <c r="AB29" s="5" t="inlineStr">
        <is>
          <t xml:space="preserve">30176882,31470906</t>
        </is>
      </c>
      <c r="AC29" s="24" t="inlineStr">
        <is>
          <t xml:space="preserve">*W276_BRCA2_E11_27;W277_BRCA2_E11_28</t>
        </is>
      </c>
      <c r="AD29" s="2">
        <v>1332</v>
      </c>
      <c r="AE29" s="2">
        <v>4732</v>
      </c>
    </row>
    <row r="30">
      <c r="A30" s="5" t="inlineStr">
        <is>
          <t xml:space="preserve">BPTM-55-26S075016</t>
        </is>
      </c>
      <c r="B30" s="6" t="inlineStr">
        <is>
          <t xml:space="preserve">BPTM-55-26S075016</t>
        </is>
      </c>
      <c r="C30" s="6" t="inlineStr">
        <is>
          <t xml:space="preserve">AHL3NVDRX7_1</t>
        </is>
      </c>
      <c r="D30" s="11" t="inlineStr">
        <is>
          <t xml:space="preserve">chr13</t>
        </is>
      </c>
      <c r="E30" s="2">
        <v>32915005</v>
      </c>
      <c r="F30" s="2">
        <v>32915005</v>
      </c>
      <c r="G30" s="11" t="inlineStr">
        <is>
          <t xml:space="preserve">G</t>
        </is>
      </c>
      <c r="H30" s="11" t="inlineStr">
        <is>
          <t xml:space="preserve">C</t>
        </is>
      </c>
      <c r="I30" s="19" t="inlineStr">
        <is>
          <t xml:space="preserve">GAACCAAAGT-G-TCACTTGTTG</t>
        </is>
      </c>
      <c r="J30" s="20" t="inlineStr">
        <is>
          <t xml:space="preserve">PASS;Polymorphism;WBC</t>
        </is>
      </c>
      <c r="K30" s="2">
        <v>2553</v>
      </c>
      <c r="L30" s="3">
        <v>0.998</v>
      </c>
      <c r="M30" s="2">
        <v>2548</v>
      </c>
      <c r="N30" s="11" t="inlineStr">
        <is>
          <t xml:space="preserve">BRCA2</t>
        </is>
      </c>
      <c r="O30" s="20" t="inlineStr">
        <is>
          <t xml:space="preserve">Synonymous_Substitution</t>
        </is>
      </c>
      <c r="P30" s="21" t="inlineStr">
        <is>
          <t xml:space="preserve">NM_000059.4:exon11:c.6513G&gt;C:p.(V2171=):p.(Val2171=)</t>
        </is>
      </c>
      <c r="Q30" s="2">
        <v>1</v>
      </c>
      <c r="R30" s="17">
        <f>HYPERLINK("https://grch37.ensembl.org/Homo_sapiens/Variation/Citations?v=rs206076", "rs206076") </f>
      </c>
      <c r="S30" s="3">
        <v>0.973642</v>
      </c>
      <c r="T30" s="3">
        <v>1</v>
      </c>
      <c r="U30" s="3">
        <v>0.999</v>
      </c>
      <c r="V30" s="3">
        <v>0.9971</v>
      </c>
      <c r="W30" s="3">
        <v>1</v>
      </c>
      <c r="X30" s="3">
        <v>0.9024</v>
      </c>
      <c r="Y30" s="17">
        <f>HYPERLINK("https://www.ncbi.nlm.nih.gov/clinvar/variation/132780", "132780") </f>
      </c>
      <c r="Z30" s="16" t="inlineStr">
        <is>
          <t xml:space="preserve">Benign</t>
        </is>
      </c>
      <c r="AA30" s="17">
        <f>HYPERLINK("https://grch37-cancer.sanger.ac.uk/cosmic/search?q=COSM4147689", "COSM4147689") </f>
      </c>
      <c r="AB30" s="5" t="inlineStr">
        <is>
          <t xml:space="preserve">30176882,31470906</t>
        </is>
      </c>
      <c r="AC30" s="24" t="inlineStr">
        <is>
          <t xml:space="preserve">W296_BRCA2_E11_47</t>
        </is>
      </c>
      <c r="AD30" s="2">
        <v>0</v>
      </c>
      <c r="AE30" s="2">
        <v>2548</v>
      </c>
    </row>
    <row r="31">
      <c r="A31" s="5" t="inlineStr">
        <is>
          <t xml:space="preserve">BPTM-55-26S075016</t>
        </is>
      </c>
      <c r="B31" s="6" t="inlineStr">
        <is>
          <t xml:space="preserve">BPTM-55-26S075016</t>
        </is>
      </c>
      <c r="C31" s="6" t="inlineStr">
        <is>
          <t xml:space="preserve">AHL3NVDRX7_1</t>
        </is>
      </c>
      <c r="D31" s="11" t="inlineStr">
        <is>
          <t xml:space="preserve">chr13</t>
        </is>
      </c>
      <c r="E31" s="2">
        <v>32929387</v>
      </c>
      <c r="F31" s="2">
        <v>32929387</v>
      </c>
      <c r="G31" s="11" t="inlineStr">
        <is>
          <t xml:space="preserve">T</t>
        </is>
      </c>
      <c r="H31" s="11" t="inlineStr">
        <is>
          <t xml:space="preserve">C</t>
        </is>
      </c>
      <c r="I31" s="19" t="inlineStr">
        <is>
          <t xml:space="preserve">AATCAAGCAG-T-AGCTGTAACT</t>
        </is>
      </c>
      <c r="J31" s="20" t="inlineStr">
        <is>
          <t xml:space="preserve">PASS;Polymorphism;WBC</t>
        </is>
      </c>
      <c r="K31" s="2">
        <v>12271</v>
      </c>
      <c r="L31" s="3">
        <v>0.9983</v>
      </c>
      <c r="M31" s="2">
        <v>12250</v>
      </c>
      <c r="N31" s="11" t="inlineStr">
        <is>
          <t xml:space="preserve">BRCA2</t>
        </is>
      </c>
      <c r="O31" s="20" t="inlineStr">
        <is>
          <t xml:space="preserve">nonSynonymous_Substitution</t>
        </is>
      </c>
      <c r="P31" s="21" t="inlineStr">
        <is>
          <t xml:space="preserve">NM_000059.4:exon14:c.7397T&gt;C:p.(V2466A):p.(Val2466Ala)</t>
        </is>
      </c>
      <c r="Q31" s="2">
        <v>1</v>
      </c>
      <c r="R31" s="17">
        <f>HYPERLINK("https://grch37.ensembl.org/Homo_sapiens/Variation/Citations?v=rs169547", "rs169547") </f>
      </c>
      <c r="S31" s="3">
        <v>0.975839</v>
      </c>
      <c r="T31" s="3">
        <v>1</v>
      </c>
      <c r="U31" s="3">
        <v>0.999</v>
      </c>
      <c r="V31" s="3">
        <v>0.9971</v>
      </c>
      <c r="W31" s="3">
        <v>1</v>
      </c>
      <c r="X31" s="3">
        <v>0.9107</v>
      </c>
      <c r="Y31" s="17">
        <f>HYPERLINK("https://www.ncbi.nlm.nih.gov/clinvar/variation/133738", "133738") </f>
      </c>
      <c r="Z31" s="16" t="inlineStr">
        <is>
          <t xml:space="preserve">Benign</t>
        </is>
      </c>
      <c r="AA31" s="17">
        <f>HYPERLINK("https://grch37-cancer.sanger.ac.uk/cosmic/search?q=COSM7335572", "COSM7335572") </f>
      </c>
      <c r="AB31" s="5" t="inlineStr">
        <is>
          <t xml:space="preserve">31636198,30176882</t>
        </is>
      </c>
      <c r="AC31" s="24" t="inlineStr">
        <is>
          <t xml:space="preserve">*W308_BRCA2_E14_05;W309_BRCA2_E14_06</t>
        </is>
      </c>
      <c r="AD31" s="2">
        <v>5453</v>
      </c>
      <c r="AE31" s="2">
        <v>6797</v>
      </c>
    </row>
    <row r="32">
      <c r="A32" s="5" t="inlineStr">
        <is>
          <t xml:space="preserve">BPTM-55-26S075016</t>
        </is>
      </c>
      <c r="B32" s="6" t="inlineStr">
        <is>
          <t xml:space="preserve">BPTM-55-26S075016</t>
        </is>
      </c>
      <c r="C32" s="6" t="inlineStr">
        <is>
          <t xml:space="preserve">AHL3NVDRX7_1</t>
        </is>
      </c>
      <c r="D32" s="11" t="inlineStr">
        <is>
          <t xml:space="preserve">chr13</t>
        </is>
      </c>
      <c r="E32" s="2">
        <v>32936646</v>
      </c>
      <c r="F32" s="2">
        <v>32936646</v>
      </c>
      <c r="G32" s="11" t="inlineStr">
        <is>
          <t xml:space="preserve">T</t>
        </is>
      </c>
      <c r="H32" s="11" t="inlineStr">
        <is>
          <t xml:space="preserve">C</t>
        </is>
      </c>
      <c r="I32" s="19" t="inlineStr">
        <is>
          <t xml:space="preserve">AATATTCTAC-T-TTTATTTGTT</t>
        </is>
      </c>
      <c r="J32" s="20" t="inlineStr">
        <is>
          <t xml:space="preserve">PASS;Polymorphism;WBC</t>
        </is>
      </c>
      <c r="K32" s="2">
        <v>1806</v>
      </c>
      <c r="L32" s="3">
        <v>0.5044</v>
      </c>
      <c r="M32" s="2">
        <v>911</v>
      </c>
      <c r="N32" s="11" t="inlineStr">
        <is>
          <t xml:space="preserve">BRCA2</t>
        </is>
      </c>
      <c r="O32" s="20" t="inlineStr">
        <is>
          <t xml:space="preserve">Intronic</t>
        </is>
      </c>
      <c r="P32" s="21" t="inlineStr">
        <is>
          <t xml:space="preserve">NM_000059.4:intron16:c.7806-14T&gt;C:p.?:p.?</t>
        </is>
      </c>
      <c r="Q32" s="2">
        <v>1</v>
      </c>
      <c r="R32" s="17">
        <f>HYPERLINK("https://grch37.ensembl.org/Homo_sapiens/Variation/Citations?v=rs9534262", "rs9534262") </f>
      </c>
      <c r="S32" s="3">
        <v>0.53155</v>
      </c>
      <c r="T32" s="3">
        <v>0.5337</v>
      </c>
      <c r="U32" s="3">
        <v>0.5179</v>
      </c>
      <c r="V32" s="3">
        <v>0.5389</v>
      </c>
      <c r="W32" s="3">
        <v>0.4673</v>
      </c>
      <c r="X32" s="3">
        <v>0.584</v>
      </c>
      <c r="Y32" s="17">
        <f>HYPERLINK("https://www.ncbi.nlm.nih.gov/clinvar/variation/126158", "126158") </f>
      </c>
      <c r="Z32" s="16" t="inlineStr">
        <is>
          <t xml:space="preserve">Benign</t>
        </is>
      </c>
      <c r="AA32" s="17">
        <f>HYPERLINK("https://grch37-cancer.sanger.ac.uk/cosmic/search?q=COSN17135954", "COSN17135954") </f>
      </c>
      <c r="AB32" s="5" t="inlineStr">
        <is>
          <t xml:space="preserve">36991000,25589003,31470906,32952556</t>
        </is>
      </c>
      <c r="AC32" s="24" t="inlineStr">
        <is>
          <t xml:space="preserve">W316_BRCA2_E17_01</t>
        </is>
      </c>
      <c r="AD32" s="2">
        <v>911</v>
      </c>
      <c r="AE32" s="2">
        <v>0</v>
      </c>
    </row>
    <row r="33">
      <c r="A33" s="5" t="inlineStr">
        <is>
          <t xml:space="preserve">BPTM-55-26S075016</t>
        </is>
      </c>
      <c r="B33" s="6" t="inlineStr">
        <is>
          <t xml:space="preserve">BPTM-55-26S075016</t>
        </is>
      </c>
      <c r="C33" s="6" t="inlineStr">
        <is>
          <t xml:space="preserve">AHL3NVDRX7_1</t>
        </is>
      </c>
      <c r="D33" s="11" t="inlineStr">
        <is>
          <t xml:space="preserve">chr17</t>
        </is>
      </c>
      <c r="E33" s="2">
        <v>7579546</v>
      </c>
      <c r="F33" s="2">
        <v>7579546</v>
      </c>
      <c r="G33" s="11" t="inlineStr">
        <is>
          <t xml:space="preserve">C</t>
        </is>
      </c>
      <c r="H33" s="11" t="inlineStr">
        <is>
          <t xml:space="preserve">T</t>
        </is>
      </c>
      <c r="I33" s="19" t="inlineStr">
        <is>
          <t xml:space="preserve">CAATATCGTC-C-GGGGACAGCA</t>
        </is>
      </c>
      <c r="J33" s="20" t="inlineStr">
        <is>
          <t xml:space="preserve">PASS;Polymorphism;WBC</t>
        </is>
      </c>
      <c r="K33" s="2">
        <v>7748</v>
      </c>
      <c r="L33" s="3">
        <v>0.4867</v>
      </c>
      <c r="M33" s="2">
        <v>3771</v>
      </c>
      <c r="N33" s="11" t="inlineStr">
        <is>
          <t xml:space="preserve">TP53</t>
        </is>
      </c>
      <c r="O33" s="20" t="inlineStr">
        <is>
          <t xml:space="preserve">Synonymous_Substitution</t>
        </is>
      </c>
      <c r="P33" s="21" t="inlineStr">
        <is>
          <t xml:space="preserve">NM_000546.6:exon4:c.141G&gt;A:p.(P47=):p.(Pro47=)</t>
        </is>
      </c>
      <c r="Q33" s="2">
        <v>1</v>
      </c>
      <c r="R33" s="17">
        <f>HYPERLINK("https://grch37.ensembl.org/Homo_sapiens/Variation/Citations?v=rs201741778", "rs201741778") </f>
      </c>
      <c r="S33" s="3">
        <v>0.000199681</v>
      </c>
      <c r="T33" s="3">
        <v>0.001</v>
      </c>
      <c r="U33" s="23" t="inlineStr">
        <is>
          <t xml:space="preserve">-</t>
        </is>
      </c>
      <c r="V33" s="23" t="inlineStr">
        <is>
          <t xml:space="preserve">-</t>
        </is>
      </c>
      <c r="W33" s="23" t="inlineStr">
        <is>
          <t xml:space="preserve">-</t>
        </is>
      </c>
      <c r="X33" s="23" t="inlineStr">
        <is>
          <t xml:space="preserve">-</t>
        </is>
      </c>
      <c r="Y33" s="17">
        <f>HYPERLINK("https://www.ncbi.nlm.nih.gov/clinvar/variation/184839", "184839") </f>
      </c>
      <c r="Z33" s="16" t="inlineStr">
        <is>
          <t xml:space="preserve">Conflicting_classifications_of_pathogenicity</t>
        </is>
      </c>
      <c r="AA33" s="17">
        <f>HYPERLINK("https://grch37-cancer.sanger.ac.uk/cosmic/search?q=COSM2745136", "COSM2745136") </f>
      </c>
      <c r="AB33" s="5" t="inlineStr">
        <is>
          <t xml:space="preserve">26647728,11801555,22493262,30224644</t>
        </is>
      </c>
      <c r="AC33" s="24" t="inlineStr">
        <is>
          <t xml:space="preserve">W372_TP53_E04_04</t>
        </is>
      </c>
      <c r="AD33" s="2">
        <v>3771</v>
      </c>
      <c r="AE33" s="2">
        <v>0</v>
      </c>
    </row>
    <row r="34">
      <c r="A34" s="5" t="inlineStr">
        <is>
          <t xml:space="preserve">BPTM-55-26S075016</t>
        </is>
      </c>
      <c r="B34" s="6" t="inlineStr">
        <is>
          <t xml:space="preserve">BPTM-55-26S075016</t>
        </is>
      </c>
      <c r="C34" s="6" t="inlineStr">
        <is>
          <t xml:space="preserve">AHL3NVDRX7_1</t>
        </is>
      </c>
      <c r="D34" s="11" t="inlineStr">
        <is>
          <t xml:space="preserve">chr17</t>
        </is>
      </c>
      <c r="E34" s="2">
        <v>7579705</v>
      </c>
      <c r="F34" s="2">
        <v>7579705</v>
      </c>
      <c r="G34" s="11" t="inlineStr">
        <is>
          <t xml:space="preserve">C</t>
        </is>
      </c>
      <c r="H34" s="11" t="inlineStr">
        <is>
          <t xml:space="preserve">T</t>
        </is>
      </c>
      <c r="I34" s="19" t="inlineStr">
        <is>
          <t xml:space="preserve">CTTACCAGAA-C-GTTGTTTTCA</t>
        </is>
      </c>
      <c r="J34" s="20" t="inlineStr">
        <is>
          <t xml:space="preserve">PASS;Polymorphism;WBC</t>
        </is>
      </c>
      <c r="K34" s="2">
        <v>20041</v>
      </c>
      <c r="L34" s="3">
        <v>0.482</v>
      </c>
      <c r="M34" s="2">
        <v>9660</v>
      </c>
      <c r="N34" s="11" t="inlineStr">
        <is>
          <t xml:space="preserve">TP53</t>
        </is>
      </c>
      <c r="O34" s="20" t="inlineStr">
        <is>
          <t xml:space="preserve">nonSynonymous_Substitution</t>
        </is>
      </c>
      <c r="P34" s="21" t="inlineStr">
        <is>
          <t xml:space="preserve">NM_000546.6:exon3:c.91G&gt;A:p.(V31I):p.(Val31Ile)</t>
        </is>
      </c>
      <c r="Q34" s="2">
        <v>1</v>
      </c>
      <c r="R34" s="17">
        <f>HYPERLINK("https://grch37.ensembl.org/Homo_sapiens/Variation/Citations?v=rs201753350", "rs201753350") </f>
      </c>
      <c r="S34" s="3">
        <v>0.00179712</v>
      </c>
      <c r="T34" s="3">
        <v>0.0089</v>
      </c>
      <c r="U34" s="23" t="inlineStr">
        <is>
          <t xml:space="preserve">-</t>
        </is>
      </c>
      <c r="V34" s="23" t="inlineStr">
        <is>
          <t xml:space="preserve">-</t>
        </is>
      </c>
      <c r="W34" s="23" t="inlineStr">
        <is>
          <t xml:space="preserve">-</t>
        </is>
      </c>
      <c r="X34" s="23" t="inlineStr">
        <is>
          <t xml:space="preserve">-</t>
        </is>
      </c>
      <c r="Y34" s="17">
        <f>HYPERLINK("https://www.ncbi.nlm.nih.gov/clinvar/variation/127827", "127827") </f>
      </c>
      <c r="Z34" s="16" t="inlineStr">
        <is>
          <t xml:space="preserve">Conflicting_classifications_of_pathogenicity</t>
        </is>
      </c>
      <c r="AA34" s="17">
        <f>HYPERLINK("https://grch37-cancer.sanger.ac.uk/cosmic/search?q=COSM45360", "COSM45360") </f>
      </c>
      <c r="AB34" s="5" t="inlineStr">
        <is>
          <t xml:space="preserve">24807215,21311022,24896186,30224644,12826609</t>
        </is>
      </c>
      <c r="AC34" s="24" t="inlineStr">
        <is>
          <t xml:space="preserve">W373_TP53_E03_01</t>
        </is>
      </c>
      <c r="AD34" s="2">
        <v>0</v>
      </c>
      <c r="AE34" s="2">
        <v>9660</v>
      </c>
    </row>
  </sheetData>
  <autoFilter ref="A1:AE3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1"/>
    <col min="5" max="5" hidden="0" bestFit="0" customWidth="1" width="18.000000" style="18"/>
    <col min="6" max="6" hidden="0" bestFit="0" customWidth="1" width="18.000000" style="18"/>
    <col min="7" max="7" hidden="0" bestFit="0" customWidth="1" width="10.000000" style="11"/>
    <col min="8" max="8" hidden="0" bestFit="0" customWidth="1" width="10.000000" style="11"/>
    <col min="9" max="9" hidden="0" bestFit="0" customWidth="1" width="35.000000" style="19"/>
    <col min="10" max="10" hidden="0" bestFit="0" customWidth="1" width="30.000000" style="20"/>
    <col min="11" max="11" hidden="0" bestFit="0" customWidth="1" width="10.000000" style="11"/>
    <col min="12" max="12" hidden="0" bestFit="0" customWidth="1" width="10.000000" style="11"/>
    <col min="13" max="13" hidden="0" bestFit="0" customWidth="1" width="11.600000" style="9"/>
    <col min="14" max="14" hidden="0" bestFit="0" customWidth="1" width="10.000000" style="11"/>
    <col min="15" max="15" hidden="0" bestFit="0" customWidth="1" width="30.000000" style="20"/>
    <col min="16" max="16" hidden="0" bestFit="0" customWidth="1" width="55.000000" style="21"/>
    <col min="17" max="17" hidden="0" bestFit="0" customWidth="1" width="17.400000" style="13"/>
    <col min="18" max="18" hidden="0" bestFit="0" customWidth="1" width="10.000000" style="11"/>
    <col min="19" max="19" hidden="0" bestFit="0" customWidth="1" width="10.000000" style="22"/>
    <col min="20" max="20" hidden="0" bestFit="0" customWidth="1" width="14.500000" style="23"/>
    <col min="21" max="21" hidden="0" bestFit="0" customWidth="1" width="14.500000" style="23"/>
    <col min="22" max="22" hidden="0" bestFit="0" customWidth="1" width="14.500000" style="23"/>
    <col min="23" max="23" hidden="0" bestFit="0" customWidth="1" width="14.500000" style="23"/>
    <col min="24" max="24" hidden="0" bestFit="0" customWidth="1" width="14.500000" style="23"/>
    <col min="25" max="25" hidden="0" bestFit="0" customWidth="1" width="10.150000" style="14"/>
    <col min="26" max="26" hidden="0" bestFit="0" customWidth="1" width="20.300000" style="16"/>
    <col min="27" max="27" hidden="0" bestFit="0" customWidth="1" width="26.000000" style="5"/>
    <col min="28" max="28" hidden="0" bestFit="0" customWidth="1" width="26.000000" style="5"/>
    <col min="29" max="29" hidden="0" bestFit="0" customWidth="1" width="33.000000" style="24"/>
    <col min="30" max="30" hidden="0" bestFit="0" customWidth="1" width="10.000000" style="11"/>
    <col min="31" max="31" hidden="0" bestFit="0" customWidth="1" width="10.000000" style="11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1" t="inlineStr">
        <is>
          <t xml:space="preserve">Chr</t>
        </is>
      </c>
      <c r="E1" s="18" t="inlineStr">
        <is>
          <t xml:space="preserve">Start</t>
        </is>
      </c>
      <c r="F1" s="18" t="inlineStr">
        <is>
          <t xml:space="preserve">End</t>
        </is>
      </c>
      <c r="G1" s="11" t="inlineStr">
        <is>
          <t xml:space="preserve">Ref</t>
        </is>
      </c>
      <c r="H1" s="11" t="inlineStr">
        <is>
          <t xml:space="preserve">Alt</t>
        </is>
      </c>
      <c r="I1" s="19" t="inlineStr">
        <is>
          <t xml:space="preserve">Context</t>
        </is>
      </c>
      <c r="J1" s="20" t="inlineStr">
        <is>
          <t xml:space="preserve">Tags</t>
        </is>
      </c>
      <c r="K1" s="11" t="inlineStr">
        <is>
          <t xml:space="preserve">Depth</t>
        </is>
      </c>
      <c r="L1" s="11" t="inlineStr">
        <is>
          <t xml:space="preserve">Freq</t>
        </is>
      </c>
      <c r="M1" s="9" t="inlineStr">
        <is>
          <t xml:space="preserve">AltDepth</t>
        </is>
      </c>
      <c r="N1" s="11" t="inlineStr">
        <is>
          <t xml:space="preserve">Gene</t>
        </is>
      </c>
      <c r="O1" s="20" t="inlineStr">
        <is>
          <t xml:space="preserve">Type</t>
        </is>
      </c>
      <c r="P1" s="21" t="inlineStr">
        <is>
          <t xml:space="preserve">CDSChange</t>
        </is>
      </c>
      <c r="Q1" s="13" t="inlineStr">
        <is>
          <t xml:space="preserve">Significance</t>
        </is>
      </c>
      <c r="R1" s="11" t="inlineStr">
        <is>
          <t xml:space="preserve">dbSNP</t>
        </is>
      </c>
      <c r="S1" s="22" t="inlineStr">
        <is>
          <t xml:space="preserve">1KG</t>
        </is>
      </c>
      <c r="T1" s="23" t="inlineStr">
        <is>
          <t xml:space="preserve">1KG_EAS_AF</t>
        </is>
      </c>
      <c r="U1" s="23" t="inlineStr">
        <is>
          <t xml:space="preserve">1KG_EUR_AF</t>
        </is>
      </c>
      <c r="V1" s="23" t="inlineStr">
        <is>
          <t xml:space="preserve">1KG_AMR_AF</t>
        </is>
      </c>
      <c r="W1" s="23" t="inlineStr">
        <is>
          <t xml:space="preserve">1KG_SAS_AF</t>
        </is>
      </c>
      <c r="X1" s="23" t="inlineStr">
        <is>
          <t xml:space="preserve">1KG_AFR_AF</t>
        </is>
      </c>
      <c r="Y1" s="14" t="inlineStr">
        <is>
          <t xml:space="preserve">ClinVar</t>
        </is>
      </c>
      <c r="Z1" s="16" t="inlineStr">
        <is>
          <t xml:space="preserve">ClinVar_CLNSIG</t>
        </is>
      </c>
      <c r="AA1" s="5" t="inlineStr">
        <is>
          <t xml:space="preserve">COSMIC</t>
        </is>
      </c>
      <c r="AB1" s="5" t="inlineStr">
        <is>
          <t xml:space="preserve">PMID</t>
        </is>
      </c>
      <c r="AC1" s="24" t="inlineStr">
        <is>
          <t xml:space="preserve">Amplicon</t>
        </is>
      </c>
      <c r="AD1" s="11" t="inlineStr">
        <is>
          <t xml:space="preserve">Plus</t>
        </is>
      </c>
      <c r="AE1" s="11" t="inlineStr">
        <is>
          <t xml:space="preserve">Minus</t>
        </is>
      </c>
    </row>
  </sheetData>
  <autoFilter ref="A1:A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AmpliconStat</vt:lpstr>
      <vt:lpstr>SNVIndel</vt:lpstr>
      <vt:lpstr>SNVIndelDiscard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2026-07-20T18:02:00Z</dcterms:created>
  <dcterms:modified xsi:type="dcterms:W3CDTF">2026-07-20T18:02:00Z</dcterms:modified>
</cp:coreProperties>
</file>